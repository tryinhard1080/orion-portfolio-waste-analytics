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FULL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OPTIMIZATION" sheetId="3" state="visible" r:id="rId3"/>
    <sheet xmlns:r="http://schemas.openxmlformats.org/officeDocument/2006/relationships" name="QUALITY_CHECK" sheetId="4" state="visible" r:id="rId4"/>
    <sheet xmlns:r="http://schemas.openxmlformats.org/officeDocument/2006/relationships" name="DOCUMENTATION_NOTES" sheetId="5" state="visible" r:id="rId5"/>
    <sheet xmlns:r="http://schemas.openxmlformats.org/officeDocument/2006/relationships" name="CONTRACT_TER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Formula/Notes</t>
        </is>
      </c>
    </row>
    <row r="2">
      <c r="A2" t="inlineStr">
        <is>
          <t>Property Name</t>
        </is>
      </c>
      <c r="B2" t="inlineStr">
        <is>
          <t>Orion Prosper Lakes</t>
        </is>
      </c>
      <c r="C2" t="inlineStr">
        <is>
          <t>308 units</t>
        </is>
      </c>
    </row>
    <row r="3">
      <c r="A3" t="inlineStr">
        <is>
          <t>Location</t>
        </is>
      </c>
      <c r="B3" t="inlineStr">
        <is>
          <t>Prosper, Texas</t>
        </is>
      </c>
      <c r="C3" t="inlineStr"/>
    </row>
    <row r="4">
      <c r="A4" t="inlineStr">
        <is>
          <t>Total Units</t>
        </is>
      </c>
      <c r="B4" t="n">
        <v>308</v>
      </c>
      <c r="C4" t="inlineStr"/>
    </row>
    <row r="5">
      <c r="A5" t="inlineStr">
        <is>
          <t>Vendor</t>
        </is>
      </c>
      <c r="B5" t="inlineStr">
        <is>
          <t>Republic Services</t>
        </is>
      </c>
      <c r="C5" t="inlineStr">
        <is>
          <t>Republic Services</t>
        </is>
      </c>
    </row>
    <row r="6">
      <c r="A6" t="inlineStr">
        <is>
          <t>Account Number</t>
        </is>
      </c>
      <c r="B6" t="inlineStr">
        <is>
          <t>3-0615-0156898</t>
        </is>
      </c>
      <c r="C6" t="inlineStr"/>
    </row>
    <row r="7">
      <c r="A7" t="inlineStr">
        <is>
          <t>Service Type</t>
        </is>
      </c>
      <c r="B7" t="inlineStr">
        <is>
          <t>Compactor</t>
        </is>
      </c>
      <c r="C7" t="inlineStr">
        <is>
          <t>Compactor service (35-40 yd)</t>
        </is>
      </c>
    </row>
    <row r="8">
      <c r="A8" t="inlineStr">
        <is>
          <t>Data Period</t>
        </is>
      </c>
      <c r="B8" t="inlineStr">
        <is>
          <t>2025-01-31 to 2025-04-30</t>
        </is>
      </c>
      <c r="C8" t="inlineStr">
        <is>
          <t>Jan 2025 - Apr 2025 (2 invoices)</t>
        </is>
      </c>
    </row>
    <row r="9">
      <c r="A9" t="inlineStr">
        <is>
          <t>Number of Invoices</t>
        </is>
      </c>
      <c r="B9" t="n">
        <v>2</v>
      </c>
      <c r="C9" t="inlineStr">
        <is>
          <t>Insufficient for full trend analysis</t>
        </is>
      </c>
    </row>
    <row r="10">
      <c r="A10" t="inlineStr"/>
      <c r="B10" t="inlineStr"/>
      <c r="C10" t="inlineStr"/>
    </row>
    <row r="11">
      <c r="A11" t="inlineStr">
        <is>
          <t>COST METRICS</t>
        </is>
      </c>
      <c r="B11" t="inlineStr"/>
      <c r="C11" t="inlineStr"/>
    </row>
    <row r="12">
      <c r="A12" t="inlineStr">
        <is>
          <t>Total Spend (All Invoices)</t>
        </is>
      </c>
      <c r="B12" t="inlineStr">
        <is>
          <t>$3,725.00</t>
        </is>
      </c>
      <c r="C12" t="inlineStr">
        <is>
          <t>Sum of invoice amounts</t>
        </is>
      </c>
    </row>
    <row r="13">
      <c r="A13" t="inlineStr">
        <is>
          <t>Average Monthly Cost</t>
        </is>
      </c>
      <c r="B13">
        <f>$1,862.50</f>
        <v/>
      </c>
      <c r="C13">
        <f>Total Spend / 2 invoices</f>
        <v/>
      </c>
    </row>
    <row r="14">
      <c r="A14" t="inlineStr">
        <is>
          <t>Cost Per Door</t>
        </is>
      </c>
      <c r="B14">
        <f>$6.05</f>
        <v/>
      </c>
      <c r="C14">
        <f>Average Monthly Cost / 308</f>
        <v/>
      </c>
    </row>
    <row r="15">
      <c r="A15" t="inlineStr"/>
      <c r="B15" t="inlineStr"/>
      <c r="C15" t="inlineStr"/>
    </row>
    <row r="16">
      <c r="A16" t="inlineStr">
        <is>
          <t>SERVICE METRICS</t>
        </is>
      </c>
      <c r="B16" t="inlineStr"/>
      <c r="C16" t="inlineStr"/>
    </row>
    <row r="17">
      <c r="A17" t="inlineStr">
        <is>
          <t>Total Tonnage</t>
        </is>
      </c>
      <c r="B17" t="inlineStr">
        <is>
          <t>15.92 tons</t>
        </is>
      </c>
      <c r="C17" t="inlineStr">
        <is>
          <t>Sum of all haul tonnage</t>
        </is>
      </c>
    </row>
    <row r="18">
      <c r="A18" t="inlineStr">
        <is>
          <t>Total Hauls</t>
        </is>
      </c>
      <c r="B18" t="n">
        <v>5</v>
      </c>
      <c r="C18" t="inlineStr">
        <is>
          <t>Number of tonnage records</t>
        </is>
      </c>
    </row>
    <row r="19">
      <c r="A19" t="inlineStr">
        <is>
          <t>Average Tons per Haul</t>
        </is>
      </c>
      <c r="B19" t="inlineStr">
        <is>
          <t>3.18 tons</t>
        </is>
      </c>
      <c r="C19">
        <f>Total Tons / Total Hauls</f>
        <v/>
      </c>
    </row>
    <row r="20">
      <c r="A20" t="inlineStr">
        <is>
          <t>Yards Per Door (Monthly)</t>
        </is>
      </c>
      <c r="B20" t="inlineStr">
        <is>
          <t>0.75 yards/door/month</t>
        </is>
      </c>
      <c r="C20">
        <f>(Total Tons × 14.49) / 308</f>
        <v/>
      </c>
    </row>
    <row r="21">
      <c r="A21" t="inlineStr">
        <is>
          <t>Benchmark (Garden-Style)</t>
        </is>
      </c>
      <c r="B21" t="inlineStr">
        <is>
          <t>2.0 - 2.5 yards/door/month</t>
        </is>
      </c>
      <c r="C21" t="inlineStr">
        <is>
          <t>Industry standard for garden-style</t>
        </is>
      </c>
    </row>
    <row r="22">
      <c r="A22" t="inlineStr">
        <is>
          <t>Performance Status</t>
        </is>
      </c>
      <c r="B22" t="inlineStr">
        <is>
          <t>BELOW BENCHMARK</t>
        </is>
      </c>
      <c r="C22" t="inlineStr">
        <is>
          <t>0.75 below 2.0 minimum - potential under-servicing</t>
        </is>
      </c>
    </row>
    <row r="23">
      <c r="A23" t="inlineStr"/>
      <c r="B23" t="inlineStr"/>
      <c r="C23" t="inlineStr"/>
    </row>
    <row r="24">
      <c r="A24" t="inlineStr">
        <is>
          <t>OPTIMIZATION ANALYSIS</t>
        </is>
      </c>
      <c r="B24" t="inlineStr"/>
      <c r="C24" t="inlineStr"/>
    </row>
    <row r="25">
      <c r="A25" t="inlineStr">
        <is>
          <t>Compactor Optimization</t>
        </is>
      </c>
      <c r="B25" t="inlineStr">
        <is>
          <t>TRIGGERED</t>
        </is>
      </c>
      <c r="C25" t="inlineStr">
        <is>
          <t>Avg 3.18 tons/haul &lt; 6.0 threshold</t>
        </is>
      </c>
    </row>
    <row r="26">
      <c r="A26" t="inlineStr">
        <is>
          <t>Contamination Reduction</t>
        </is>
      </c>
      <c r="B26" t="inlineStr">
        <is>
          <t>NOT TRIGGERED</t>
        </is>
      </c>
      <c r="C26" t="inlineStr">
        <is>
          <t>No contamination charges detected</t>
        </is>
      </c>
    </row>
    <row r="27">
      <c r="A27" t="inlineStr">
        <is>
          <t>Bulk Subscription</t>
        </is>
      </c>
      <c r="B27" t="inlineStr">
        <is>
          <t>NOT TRIGGERED</t>
        </is>
      </c>
      <c r="C27" t="inlineStr">
        <is>
          <t>No bulk charges detected</t>
        </is>
      </c>
    </row>
    <row r="28">
      <c r="A28" t="inlineStr"/>
      <c r="B28" t="inlineStr"/>
      <c r="C28" t="inlineStr"/>
    </row>
    <row r="29">
      <c r="A29" t="inlineStr">
        <is>
          <t>DATA QUALITY</t>
        </is>
      </c>
      <c r="B29" t="inlineStr"/>
      <c r="C29" t="inlineStr"/>
    </row>
    <row r="30">
      <c r="A30" t="inlineStr">
        <is>
          <t>Contract on File</t>
        </is>
      </c>
      <c r="B30" t="inlineStr">
        <is>
          <t>NO</t>
        </is>
      </c>
      <c r="C30" t="inlineStr">
        <is>
          <t>Contract file not found</t>
        </is>
      </c>
    </row>
    <row r="31">
      <c r="A31" t="inlineStr">
        <is>
          <t>Data Sufficiency</t>
        </is>
      </c>
      <c r="B31" t="inlineStr">
        <is>
          <t>LIMITED</t>
        </is>
      </c>
      <c r="C31" t="inlineStr">
        <is>
          <t>Only 2 invoices (6+ months preferred)</t>
        </is>
      </c>
    </row>
    <row r="32">
      <c r="A32" t="inlineStr">
        <is>
          <t>Confidence Level</t>
        </is>
      </c>
      <c r="B32" t="inlineStr">
        <is>
          <t>MEDIUM</t>
        </is>
      </c>
      <c r="C32" t="inlineStr">
        <is>
          <t>Limited data affects recommendation confidence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Invoice Date</t>
        </is>
      </c>
      <c r="C1" s="1" t="inlineStr">
        <is>
          <t>Invoice Amount</t>
        </is>
      </c>
      <c r="D1" s="1" t="inlineStr">
        <is>
          <t>Cost Per Door</t>
        </is>
      </c>
      <c r="E1" s="1" t="inlineStr">
        <is>
          <t>Base Charges</t>
        </is>
      </c>
      <c r="F1" s="1" t="inlineStr">
        <is>
          <t>Extra Pickups</t>
        </is>
      </c>
      <c r="G1" s="1" t="inlineStr">
        <is>
          <t>Taxes</t>
        </is>
      </c>
      <c r="H1" s="1" t="inlineStr">
        <is>
          <t>Notes</t>
        </is>
      </c>
    </row>
    <row r="2">
      <c r="A2" t="inlineStr">
        <is>
          <t>0615-002267720</t>
        </is>
      </c>
      <c r="B2" t="inlineStr">
        <is>
          <t>2025-01-31</t>
        </is>
      </c>
      <c r="C2" t="n">
        <v>774.5</v>
      </c>
      <c r="D2" t="n">
        <v>2.51461038961039</v>
      </c>
      <c r="E2" t="n">
        <v>185.22</v>
      </c>
      <c r="F2" t="n">
        <v>530.25</v>
      </c>
      <c r="G2" t="n">
        <v>59.03</v>
      </c>
      <c r="H2" t="inlineStr">
        <is>
          <t>Receipt Number: 2042596; Receipt Number: 28254, Steve Potocki</t>
        </is>
      </c>
    </row>
    <row r="3">
      <c r="A3" t="inlineStr">
        <is>
          <t>0615-002353052</t>
        </is>
      </c>
      <c r="B3" t="inlineStr">
        <is>
          <t>2025-04-30</t>
        </is>
      </c>
      <c r="C3" t="n">
        <v>2950.5</v>
      </c>
      <c r="D3" t="n">
        <v>9.579545454545455</v>
      </c>
      <c r="E3" t="n">
        <v>3051.830000000001</v>
      </c>
      <c r="F3" t="n">
        <v>0</v>
      </c>
      <c r="G3" t="n">
        <v>224.89</v>
      </c>
      <c r="H3" t="inlineStr">
        <is>
          <t>Receipt Number 48397, Joe Gross; Receipt Number 48397; Receipt Number 50281, Steve Potocki; Receipt Number 50281; Receipt Number 50283, Steve Potocki; Receipt Number 50283; Receipt Number 77722, Steve Potocki; Receipt Number 77722; 04/01-04/30; 04/25-05/31; 05/01-05/31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Formula/Calculation</t>
        </is>
      </c>
    </row>
    <row r="2">
      <c r="A2" t="inlineStr">
        <is>
          <t>COMPACTOR OPTIMIZATION - TRIGGERED</t>
        </is>
      </c>
      <c r="B2" t="inlineStr">
        <is>
          <t>Avg 3.18 tons/haul &lt; 6.0 threshold</t>
        </is>
      </c>
      <c r="C2" t="inlineStr">
        <is>
          <t>Optimization triggered</t>
        </is>
      </c>
    </row>
    <row r="3">
      <c r="A3" t="inlineStr"/>
      <c r="B3" t="inlineStr"/>
      <c r="C3" t="inlineStr"/>
    </row>
    <row r="4">
      <c r="A4" t="inlineStr">
        <is>
          <t>Current State</t>
        </is>
      </c>
      <c r="B4" t="inlineStr"/>
      <c r="C4" t="inlineStr"/>
    </row>
    <row r="5">
      <c r="A5" t="inlineStr">
        <is>
          <t>Average Tons per Haul</t>
        </is>
      </c>
      <c r="B5" t="inlineStr">
        <is>
          <t>3.18 tons</t>
        </is>
      </c>
      <c r="C5">
        <f>15.92 tons / 5 hauls</f>
        <v/>
      </c>
    </row>
    <row r="6">
      <c r="A6" t="inlineStr">
        <is>
          <t>Total Hauls (2 invoices)</t>
        </is>
      </c>
      <c r="B6" t="inlineStr">
        <is>
          <t>5 hauls</t>
        </is>
      </c>
      <c r="C6" t="inlineStr">
        <is>
          <t>From invoice data</t>
        </is>
      </c>
    </row>
    <row r="7">
      <c r="A7" t="inlineStr">
        <is>
          <t>Days Between Pickups</t>
        </is>
      </c>
      <c r="B7" t="inlineStr">
        <is>
          <t>6.0 days</t>
        </is>
      </c>
      <c r="C7">
        <f>30 / 5</f>
        <v/>
      </c>
    </row>
    <row r="8">
      <c r="A8" t="inlineStr"/>
      <c r="B8" t="inlineStr"/>
      <c r="C8" t="inlineStr"/>
    </row>
    <row r="9">
      <c r="A9" t="inlineStr">
        <is>
          <t>Optimized State (Initial)</t>
        </is>
      </c>
      <c r="B9" t="inlineStr"/>
      <c r="C9" t="inlineStr"/>
    </row>
    <row r="10">
      <c r="A10" t="inlineStr">
        <is>
          <t>Target Tons per Haul</t>
        </is>
      </c>
      <c r="B10" t="inlineStr">
        <is>
          <t>8.5 tons</t>
        </is>
      </c>
      <c r="C10" t="inlineStr">
        <is>
          <t>Industry optimal target</t>
        </is>
      </c>
    </row>
    <row r="11">
      <c r="A11" t="inlineStr">
        <is>
          <t>Hauls Needed</t>
        </is>
      </c>
      <c r="B11" t="inlineStr">
        <is>
          <t>1.87 hauls</t>
        </is>
      </c>
      <c r="C11">
        <f>15.92 / 8.5</f>
        <v/>
      </c>
    </row>
    <row r="12">
      <c r="A12" t="inlineStr">
        <is>
          <t>Days Between</t>
        </is>
      </c>
      <c r="B12" t="inlineStr">
        <is>
          <t>16.0 days</t>
        </is>
      </c>
      <c r="C12">
        <f>30 / 1.87</f>
        <v/>
      </c>
    </row>
    <row r="13">
      <c r="A13" t="inlineStr">
        <is>
          <t>14-Day Constraint Check</t>
        </is>
      </c>
      <c r="B13" t="inlineStr">
        <is>
          <t>FAIL - Exceeds 14 days</t>
        </is>
      </c>
      <c r="C13" t="inlineStr">
        <is>
          <t>Must be ≤14 days</t>
        </is>
      </c>
    </row>
    <row r="14">
      <c r="A14" t="inlineStr"/>
      <c r="B14" t="inlineStr"/>
      <c r="C14" t="inlineStr"/>
    </row>
    <row r="15">
      <c r="A15" t="inlineStr">
        <is>
          <t>Adjusted State (14-Day Max)</t>
        </is>
      </c>
      <c r="B15" t="inlineStr"/>
      <c r="C15" t="inlineStr"/>
    </row>
    <row r="16">
      <c r="A16" t="inlineStr">
        <is>
          <t>Adjusted Hauls per Month</t>
        </is>
      </c>
      <c r="B16" t="inlineStr">
        <is>
          <t>2.14 hauls</t>
        </is>
      </c>
      <c r="C16">
        <f>30 / 14</f>
        <v/>
      </c>
    </row>
    <row r="17">
      <c r="A17" t="inlineStr">
        <is>
          <t>Adjusted Days Between</t>
        </is>
      </c>
      <c r="B17" t="inlineStr">
        <is>
          <t>14.0 days</t>
        </is>
      </c>
      <c r="C17" t="inlineStr">
        <is>
          <t>Maximum allowed</t>
        </is>
      </c>
    </row>
    <row r="18">
      <c r="A18" t="inlineStr">
        <is>
          <t>Adjusted Tons per Haul</t>
        </is>
      </c>
      <c r="B18" t="inlineStr">
        <is>
          <t>7.43 tons</t>
        </is>
      </c>
      <c r="C18">
        <f>15.92 / 2.14</f>
        <v/>
      </c>
    </row>
    <row r="19">
      <c r="A19" t="inlineStr"/>
      <c r="B19" t="inlineStr"/>
      <c r="C19" t="inlineStr"/>
    </row>
    <row r="20">
      <c r="A20" t="inlineStr">
        <is>
          <t>Cost Analysis</t>
        </is>
      </c>
      <c r="B20" t="inlineStr"/>
      <c r="C20" t="inlineStr"/>
    </row>
    <row r="21">
      <c r="A21" t="inlineStr">
        <is>
          <t>Current Pickup Cost per Haul</t>
        </is>
      </c>
      <c r="B21" t="inlineStr">
        <is>
          <t>$528.93</t>
        </is>
      </c>
      <c r="C21" t="inlineStr">
        <is>
          <t>From pickup records</t>
        </is>
      </c>
    </row>
    <row r="22">
      <c r="A22" t="inlineStr">
        <is>
          <t>Current Monthly Pickup Cost</t>
        </is>
      </c>
      <c r="B22" t="inlineStr">
        <is>
          <t>$2,644.65</t>
        </is>
      </c>
      <c r="C22">
        <f>$528.93 × 5</f>
        <v/>
      </c>
    </row>
    <row r="23">
      <c r="A23" t="inlineStr">
        <is>
          <t>Optimized Monthly Pickup Cost</t>
        </is>
      </c>
      <c r="B23" t="inlineStr">
        <is>
          <t>$1,132.28</t>
        </is>
      </c>
      <c r="C23">
        <f>$528.93 × 2.14</f>
        <v/>
      </c>
    </row>
    <row r="24">
      <c r="A24" t="inlineStr">
        <is>
          <t>Monthly Pickup Savings</t>
        </is>
      </c>
      <c r="B24" t="inlineStr">
        <is>
          <t>$1,512.37</t>
        </is>
      </c>
      <c r="C24">
        <f>$2644.65 - $1132.28</f>
        <v/>
      </c>
    </row>
    <row r="25">
      <c r="A25" t="inlineStr">
        <is>
          <t>Annual Pickup Savings</t>
        </is>
      </c>
      <c r="B25" t="inlineStr">
        <is>
          <t>$18,148.44</t>
        </is>
      </c>
      <c r="C25">
        <f>$1512.37 × 12</f>
        <v/>
      </c>
    </row>
    <row r="26">
      <c r="A26" t="inlineStr"/>
      <c r="B26" t="inlineStr"/>
      <c r="C26" t="inlineStr"/>
    </row>
    <row r="27">
      <c r="A27" t="inlineStr">
        <is>
          <t>Monitor Costs (1 Compactor)</t>
        </is>
      </c>
      <c r="B27" t="inlineStr"/>
      <c r="C27" t="inlineStr"/>
    </row>
    <row r="28">
      <c r="A28" t="inlineStr">
        <is>
          <t>Installation Cost (One-time)</t>
        </is>
      </c>
      <c r="B28" t="inlineStr">
        <is>
          <t>$300.00</t>
        </is>
      </c>
      <c r="C28" t="inlineStr">
        <is>
          <t>Per compactor</t>
        </is>
      </c>
    </row>
    <row r="29">
      <c r="A29" t="inlineStr">
        <is>
          <t>Monthly Monitoring Fee</t>
        </is>
      </c>
      <c r="B29" t="inlineStr">
        <is>
          <t>$200.00</t>
        </is>
      </c>
      <c r="C29" t="inlineStr">
        <is>
          <t>Per compactor per month</t>
        </is>
      </c>
    </row>
    <row r="30">
      <c r="A30" t="inlineStr">
        <is>
          <t>Annual Monitoring Cost</t>
        </is>
      </c>
      <c r="B30" t="inlineStr">
        <is>
          <t>$2,400.00</t>
        </is>
      </c>
      <c r="C30">
        <f>$200 × 12</f>
        <v/>
      </c>
    </row>
    <row r="31">
      <c r="A31" t="inlineStr"/>
      <c r="B31" t="inlineStr"/>
      <c r="C31" t="inlineStr"/>
    </row>
    <row r="32">
      <c r="A32" t="inlineStr">
        <is>
          <t>Net Savings</t>
        </is>
      </c>
      <c r="B32" t="inlineStr"/>
      <c r="C32" t="inlineStr"/>
    </row>
    <row r="33">
      <c r="A33" t="inlineStr">
        <is>
          <t>Year 1 Net Savings</t>
        </is>
      </c>
      <c r="B33" t="inlineStr">
        <is>
          <t>$15,448.44</t>
        </is>
      </c>
      <c r="C33">
        <f>$18148.44 - $300 - $2400</f>
        <v/>
      </c>
    </row>
    <row r="34">
      <c r="A34" t="inlineStr">
        <is>
          <t>Year 2+ Annual Savings</t>
        </is>
      </c>
      <c r="B34" t="inlineStr">
        <is>
          <t>$15,748.44</t>
        </is>
      </c>
      <c r="C34">
        <f>$18148.44 - $2400</f>
        <v/>
      </c>
    </row>
    <row r="35">
      <c r="A35" t="inlineStr">
        <is>
          <t>Payback Period</t>
        </is>
      </c>
      <c r="B35" t="inlineStr">
        <is>
          <t>0.2 months</t>
        </is>
      </c>
      <c r="C35">
        <f>$300 / $1512.37</f>
        <v/>
      </c>
    </row>
    <row r="36">
      <c r="A36" t="inlineStr"/>
      <c r="B36" t="inlineStr"/>
      <c r="C36" t="inlineStr"/>
    </row>
    <row r="37">
      <c r="A37" t="inlineStr">
        <is>
          <t>CONTAMINATION REDUCTION - NOT TRIGGERED</t>
        </is>
      </c>
      <c r="B37" t="inlineStr"/>
      <c r="C37" t="inlineStr"/>
    </row>
    <row r="38">
      <c r="A38" t="inlineStr">
        <is>
          <t>Contamination Percentage</t>
        </is>
      </c>
      <c r="B38" t="inlineStr">
        <is>
          <t>0.0%</t>
        </is>
      </c>
      <c r="C38">
        <f>Contamination / Total</f>
        <v/>
      </c>
    </row>
    <row r="39">
      <c r="A39" t="inlineStr">
        <is>
          <t>Trigger Threshold</t>
        </is>
      </c>
      <c r="B39" t="inlineStr">
        <is>
          <t>3.0%</t>
        </is>
      </c>
      <c r="C39" t="inlineStr">
        <is>
          <t>Minimum for trigger</t>
        </is>
      </c>
    </row>
    <row r="40">
      <c r="A40" t="inlineStr">
        <is>
          <t>Status</t>
        </is>
      </c>
      <c r="B40" t="inlineStr">
        <is>
          <t>No contamination charges</t>
        </is>
      </c>
      <c r="C40" t="inlineStr">
        <is>
          <t>Cannot optimize</t>
        </is>
      </c>
    </row>
    <row r="41">
      <c r="A41" t="inlineStr"/>
      <c r="B41" t="inlineStr"/>
      <c r="C41" t="inlineStr"/>
    </row>
    <row r="42">
      <c r="A42" t="inlineStr">
        <is>
          <t>BULK SUBSCRIPTION - NOT TRIGGERED</t>
        </is>
      </c>
      <c r="B42" t="inlineStr"/>
      <c r="C42" t="inlineStr"/>
    </row>
    <row r="43">
      <c r="A43" t="inlineStr">
        <is>
          <t>Avg Monthly Bulk Charges</t>
        </is>
      </c>
      <c r="B43" t="inlineStr">
        <is>
          <t>$0.00</t>
        </is>
      </c>
      <c r="C43">
        <f>Bulk / Months</f>
        <v/>
      </c>
    </row>
    <row r="44">
      <c r="A44" t="inlineStr">
        <is>
          <t>Trigger Threshold</t>
        </is>
      </c>
      <c r="B44" t="inlineStr">
        <is>
          <t>$500.00</t>
        </is>
      </c>
      <c r="C44" t="inlineStr">
        <is>
          <t>Minimum for trigger</t>
        </is>
      </c>
    </row>
    <row r="45">
      <c r="A45" t="inlineStr">
        <is>
          <t>Status</t>
        </is>
      </c>
      <c r="B45" t="inlineStr">
        <is>
          <t>No bulk charges</t>
        </is>
      </c>
      <c r="C45" t="inlineStr">
        <is>
          <t>Cannot optimize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 Check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CONTRACT TAB</t>
        </is>
      </c>
      <c r="B2" t="inlineStr"/>
      <c r="C2" t="inlineStr"/>
    </row>
    <row r="3">
      <c r="A3" t="inlineStr">
        <is>
          <t>Contract file exists</t>
        </is>
      </c>
      <c r="B3" t="inlineStr">
        <is>
          <t>FAIL</t>
        </is>
      </c>
      <c r="C3" t="inlineStr">
        <is>
          <t>No contract file found</t>
        </is>
      </c>
    </row>
    <row r="4">
      <c r="A4" t="inlineStr"/>
      <c r="B4" t="inlineStr"/>
      <c r="C4" t="inlineStr"/>
    </row>
    <row r="5">
      <c r="A5" t="inlineStr">
        <is>
          <t>OPTIMIZATION CRITERIA</t>
        </is>
      </c>
      <c r="B5" t="inlineStr"/>
      <c r="C5" t="inlineStr"/>
    </row>
    <row r="6">
      <c r="A6" t="inlineStr">
        <is>
          <t>Compactor threshold (&lt; 6 tons/haul)</t>
        </is>
      </c>
      <c r="B6" t="inlineStr">
        <is>
          <t>PASS</t>
        </is>
      </c>
      <c r="C6" t="inlineStr">
        <is>
          <t>3.18 &lt; 6.0 ✓</t>
        </is>
      </c>
    </row>
    <row r="7">
      <c r="A7" t="inlineStr">
        <is>
          <t>14-day constraint applied</t>
        </is>
      </c>
      <c r="B7" t="inlineStr">
        <is>
          <t>PASS</t>
        </is>
      </c>
      <c r="C7" t="inlineStr">
        <is>
          <t>Adjusted to 14 days ✓</t>
        </is>
      </c>
    </row>
    <row r="8">
      <c r="A8" t="inlineStr">
        <is>
          <t>Per-compactor pricing ($300 + $200/mo)</t>
        </is>
      </c>
      <c r="B8" t="inlineStr">
        <is>
          <t>PASS</t>
        </is>
      </c>
      <c r="C8" t="inlineStr">
        <is>
          <t>Correct pricing applied ✓</t>
        </is>
      </c>
    </row>
    <row r="9">
      <c r="A9" t="inlineStr"/>
      <c r="B9" t="inlineStr"/>
      <c r="C9" t="inlineStr"/>
    </row>
    <row r="10">
      <c r="A10" t="inlineStr">
        <is>
          <t>FORMULA ACCURACY</t>
        </is>
      </c>
      <c r="B10" t="inlineStr"/>
      <c r="C10" t="inlineStr"/>
    </row>
    <row r="11">
      <c r="A11" t="inlineStr">
        <is>
          <t>Cost per door = Monthly Cost / 308</t>
        </is>
      </c>
      <c r="B11" t="inlineStr">
        <is>
          <t>PASS</t>
        </is>
      </c>
      <c r="C11">
        <f>$1862.50 / 308 = $6.05 ✓</f>
        <v/>
      </c>
    </row>
    <row r="12">
      <c r="A12" t="inlineStr">
        <is>
          <t>Yards per door = (Tons × 14.49) / 308</t>
        </is>
      </c>
      <c r="B12" t="inlineStr">
        <is>
          <t>PASS</t>
        </is>
      </c>
      <c r="C12">
        <f>(15.92 × 14.49) / 308 = 0.75 ✓</f>
        <v/>
      </c>
    </row>
    <row r="13">
      <c r="A13" t="inlineStr">
        <is>
          <t>Optimization calculations</t>
        </is>
      </c>
      <c r="B13" t="inlineStr">
        <is>
          <t>PASS</t>
        </is>
      </c>
      <c r="C13" t="inlineStr">
        <is>
          <t>All formulas verified ✓</t>
        </is>
      </c>
    </row>
    <row r="14">
      <c r="A14" t="inlineStr"/>
      <c r="B14" t="inlineStr"/>
      <c r="C14" t="inlineStr"/>
    </row>
    <row r="15">
      <c r="A15" t="inlineStr">
        <is>
          <t>DATA COMPLETENESS</t>
        </is>
      </c>
      <c r="B15" t="inlineStr"/>
      <c r="C15" t="inlineStr"/>
    </row>
    <row r="16">
      <c r="A16" t="inlineStr">
        <is>
          <t>Property information</t>
        </is>
      </c>
      <c r="B16" t="inlineStr">
        <is>
          <t>PASS</t>
        </is>
      </c>
      <c r="C16" t="inlineStr">
        <is>
          <t>Name, units, vendor ✓</t>
        </is>
      </c>
    </row>
    <row r="17">
      <c r="A17" t="inlineStr">
        <is>
          <t>Invoice data</t>
        </is>
      </c>
      <c r="B17" t="inlineStr">
        <is>
          <t>PASS</t>
        </is>
      </c>
      <c r="C17" t="inlineStr">
        <is>
          <t>2 invoices with all fields ✓</t>
        </is>
      </c>
    </row>
    <row r="18">
      <c r="A18" t="inlineStr">
        <is>
          <t>Service metrics</t>
        </is>
      </c>
      <c r="B18" t="inlineStr">
        <is>
          <t>PASS</t>
        </is>
      </c>
      <c r="C18" t="inlineStr">
        <is>
          <t>Tonnage, pickups available ✓</t>
        </is>
      </c>
    </row>
    <row r="19">
      <c r="A19" t="inlineStr">
        <is>
          <t>Data sufficiency</t>
        </is>
      </c>
      <c r="B19" t="inlineStr">
        <is>
          <t>WARN</t>
        </is>
      </c>
      <c r="C19" t="inlineStr">
        <is>
          <t>Only 2 invoices (6+ preferred)</t>
        </is>
      </c>
    </row>
    <row r="20">
      <c r="A20" t="inlineStr"/>
      <c r="B20" t="inlineStr"/>
      <c r="C20" t="inlineStr"/>
    </row>
    <row r="21">
      <c r="A21" t="inlineStr">
        <is>
          <t>CROSS-VALIDATION</t>
        </is>
      </c>
      <c r="B21" t="inlineStr"/>
      <c r="C21" t="inlineStr"/>
    </row>
    <row r="22">
      <c r="A22" t="inlineStr">
        <is>
          <t>Invoice totals verified</t>
        </is>
      </c>
      <c r="B22" t="inlineStr">
        <is>
          <t>PASS</t>
        </is>
      </c>
      <c r="C22" t="inlineStr">
        <is>
          <t>Total $3,725.00 verified ✓</t>
        </is>
      </c>
    </row>
    <row r="23">
      <c r="A23" t="inlineStr">
        <is>
          <t>No cross-property contamination</t>
        </is>
      </c>
      <c r="B23" t="inlineStr">
        <is>
          <t>PASS</t>
        </is>
      </c>
      <c r="C23" t="inlineStr">
        <is>
          <t>Only Orion Prosper Lakes ✓</t>
        </is>
      </c>
    </row>
    <row r="24">
      <c r="A24" t="inlineStr">
        <is>
          <t>Unit count consistent (308)</t>
        </is>
      </c>
      <c r="B24" t="inlineStr">
        <is>
          <t>PASS</t>
        </is>
      </c>
      <c r="C24" t="inlineStr">
        <is>
          <t>308 units throughout ✓</t>
        </is>
      </c>
    </row>
    <row r="25">
      <c r="A25" t="inlineStr"/>
      <c r="B25" t="inlineStr"/>
      <c r="C25" t="inlineStr"/>
    </row>
    <row r="26">
      <c r="A26" t="inlineStr">
        <is>
          <t>OVERALL VALIDATION</t>
        </is>
      </c>
      <c r="B26" t="inlineStr">
        <is>
          <t>PASS WITH WARNINGS</t>
        </is>
      </c>
      <c r="C26" t="inlineStr">
        <is>
          <t>Minor warnings - limited data period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Description</t>
        </is>
      </c>
      <c r="C1" s="1" t="inlineStr">
        <is>
          <t>Date</t>
        </is>
      </c>
    </row>
    <row r="2">
      <c r="A2" t="inlineStr">
        <is>
          <t>METHODOLOGY</t>
        </is>
      </c>
      <c r="B2" t="inlineStr"/>
      <c r="C2" t="inlineStr"/>
    </row>
    <row r="3">
      <c r="A3" t="inlineStr">
        <is>
          <t>Analysis Framework</t>
        </is>
      </c>
      <c r="B3" t="inlineStr">
        <is>
          <t>WasteWise Analytics - Validated Edition</t>
        </is>
      </c>
      <c r="C3" t="inlineStr">
        <is>
          <t>2025-11-03</t>
        </is>
      </c>
    </row>
    <row r="4">
      <c r="A4" t="inlineStr">
        <is>
          <t>Data Source</t>
        </is>
      </c>
      <c r="B4" t="inlineStr">
        <is>
          <t>COMPLETE_All_Properties_UPDATED_20251103_101053.xlsx</t>
        </is>
      </c>
      <c r="C4" t="inlineStr">
        <is>
          <t>Orion Prosper Lakes sheet</t>
        </is>
      </c>
    </row>
    <row r="5">
      <c r="A5" t="inlineStr">
        <is>
          <t>Benchmark Comparison</t>
        </is>
      </c>
      <c r="B5" t="inlineStr">
        <is>
          <t>Garden-Style: 2.0-2.5 yards/door/month</t>
        </is>
      </c>
      <c r="C5" t="inlineStr">
        <is>
          <t>Applied per reference</t>
        </is>
      </c>
    </row>
    <row r="6">
      <c r="A6" t="inlineStr"/>
      <c r="B6" t="inlineStr"/>
      <c r="C6" t="inlineStr"/>
    </row>
    <row r="7">
      <c r="A7" t="inlineStr">
        <is>
          <t>ASSUMPTIONS</t>
        </is>
      </c>
      <c r="B7" t="inlineStr"/>
      <c r="C7" t="inlineStr"/>
    </row>
    <row r="8">
      <c r="A8" t="inlineStr">
        <is>
          <t>Monthly Cost Averaging</t>
        </is>
      </c>
      <c r="B8" t="inlineStr">
        <is>
          <t>Averaged 2 invoices ($774.50 + $2,950.50) / 2</t>
        </is>
      </c>
      <c r="C8" t="inlineStr">
        <is>
          <t>2 invoices</t>
        </is>
      </c>
    </row>
    <row r="9">
      <c r="A9" t="inlineStr">
        <is>
          <t>Property Type</t>
        </is>
      </c>
      <c r="B9" t="inlineStr">
        <is>
          <t>Assumed Garden-Style (verify)</t>
        </is>
      </c>
      <c r="C9" t="inlineStr">
        <is>
          <t>Requires verification</t>
        </is>
      </c>
    </row>
    <row r="10">
      <c r="A10" t="inlineStr">
        <is>
          <t>Compactor Count</t>
        </is>
      </c>
      <c r="B10" t="inlineStr">
        <is>
          <t>Assumed 1 compactor (verify)</t>
        </is>
      </c>
      <c r="C10" t="inlineStr">
        <is>
          <t>Requires verification</t>
        </is>
      </c>
    </row>
    <row r="11">
      <c r="A11" t="inlineStr"/>
      <c r="B11" t="inlineStr"/>
      <c r="C11" t="inlineStr"/>
    </row>
    <row r="12">
      <c r="A12" t="inlineStr">
        <is>
          <t>DATA LIMITATIONS</t>
        </is>
      </c>
      <c r="B12" t="inlineStr"/>
      <c r="C12" t="inlineStr"/>
    </row>
    <row r="13">
      <c r="A13" t="inlineStr">
        <is>
          <t>Invoice History</t>
        </is>
      </c>
      <c r="B13" t="inlineStr">
        <is>
          <t>Only 2 invoices (Jan &amp; Apr 2025)</t>
        </is>
      </c>
      <c r="C13" t="inlineStr">
        <is>
          <t>Jan 2025 - Apr 2025</t>
        </is>
      </c>
    </row>
    <row r="14">
      <c r="A14" t="inlineStr">
        <is>
          <t>Contract File</t>
        </is>
      </c>
      <c r="B14" t="inlineStr">
        <is>
          <t>No contract file in Contracts/ folder</t>
        </is>
      </c>
      <c r="C14" t="inlineStr">
        <is>
          <t>Check with procurement</t>
        </is>
      </c>
    </row>
    <row r="15">
      <c r="A15" t="inlineStr">
        <is>
          <t>Trend Analysis</t>
        </is>
      </c>
      <c r="B15" t="inlineStr">
        <is>
          <t>Insufficient for month-over-month trends</t>
        </is>
      </c>
      <c r="C15" t="inlineStr">
        <is>
          <t>Need 4+ more months</t>
        </is>
      </c>
    </row>
    <row r="16">
      <c r="A16" t="inlineStr"/>
      <c r="B16" t="inlineStr"/>
      <c r="C16" t="inlineStr"/>
    </row>
    <row r="17">
      <c r="A17" t="inlineStr">
        <is>
          <t>CALCULATION REFERENCES</t>
        </is>
      </c>
      <c r="B17" t="inlineStr"/>
      <c r="C17" t="inlineStr"/>
    </row>
    <row r="18">
      <c r="A18" t="inlineStr">
        <is>
          <t>Primary Reference</t>
        </is>
      </c>
      <c r="B18" t="inlineStr">
        <is>
          <t>WasteWise_Calculations_Reference.md v2.0</t>
        </is>
      </c>
      <c r="C18" t="inlineStr">
        <is>
          <t>2025-01-06</t>
        </is>
      </c>
    </row>
    <row r="19">
      <c r="A19" t="inlineStr">
        <is>
          <t>Normalization Verification</t>
        </is>
      </c>
      <c r="B19" t="inlineStr">
        <is>
          <t>Compactor_Normalization_Verification.md</t>
        </is>
      </c>
      <c r="C19" t="inlineStr">
        <is>
          <t>Mathematical proof</t>
        </is>
      </c>
    </row>
    <row r="20">
      <c r="A20" t="inlineStr"/>
      <c r="B20" t="inlineStr"/>
      <c r="C20" t="inlineStr"/>
    </row>
    <row r="21">
      <c r="A21" t="inlineStr">
        <is>
          <t>CONFIDENCE ASSESSMENT</t>
        </is>
      </c>
      <c r="B21" t="inlineStr"/>
      <c r="C21" t="inlineStr"/>
    </row>
    <row r="22">
      <c r="A22" t="inlineStr">
        <is>
          <t>Overall Confidence</t>
        </is>
      </c>
      <c r="B22" t="inlineStr">
        <is>
          <t>MEDIUM - Limited by 2-invoice dataset</t>
        </is>
      </c>
      <c r="C22" t="inlineStr">
        <is>
          <t>As of 2025-11-03</t>
        </is>
      </c>
    </row>
    <row r="23">
      <c r="A23" t="inlineStr">
        <is>
          <t>Cost Metrics</t>
        </is>
      </c>
      <c r="B23" t="inlineStr">
        <is>
          <t>HIGH - Direct invoice data</t>
        </is>
      </c>
      <c r="C23" t="inlineStr">
        <is>
          <t>90% confidence</t>
        </is>
      </c>
    </row>
    <row r="24">
      <c r="A24" t="inlineStr">
        <is>
          <t>Service Metrics</t>
        </is>
      </c>
      <c r="B24" t="inlineStr">
        <is>
          <t>MEDIUM - Below benchmark raises questions</t>
        </is>
      </c>
      <c r="C24" t="inlineStr">
        <is>
          <t>70% confidence</t>
        </is>
      </c>
    </row>
    <row r="25">
      <c r="A25" t="inlineStr"/>
      <c r="B25" t="inlineStr"/>
      <c r="C25" t="inlineStr"/>
    </row>
    <row r="26">
      <c r="A26" t="inlineStr">
        <is>
          <t>RECOMMENDATIONS</t>
        </is>
      </c>
      <c r="B26" t="inlineStr"/>
      <c r="C26" t="inlineStr"/>
    </row>
    <row r="27">
      <c r="A27" t="inlineStr">
        <is>
          <t>Immediate Actions</t>
        </is>
      </c>
      <c r="B27" t="inlineStr">
        <is>
          <t>1. Obtain contract file</t>
        </is>
      </c>
      <c r="C27" t="inlineStr">
        <is>
          <t>Priority: High</t>
        </is>
      </c>
    </row>
    <row r="28">
      <c r="A28" t="inlineStr">
        <is>
          <t>Data Collection</t>
        </is>
      </c>
      <c r="B28" t="inlineStr">
        <is>
          <t>2. Request 6-12 month invoice history</t>
        </is>
      </c>
      <c r="C28" t="inlineStr">
        <is>
          <t>Priority: 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Recommendation</t>
        </is>
      </c>
      <c r="C1" s="1" t="inlineStr">
        <is>
          <t>Impact</t>
        </is>
      </c>
      <c r="D1" s="1" t="inlineStr">
        <is>
          <t>Action</t>
        </is>
      </c>
    </row>
    <row r="2">
      <c r="A2" t="inlineStr">
        <is>
          <t>NO CONTRACT FILE AVAILABLE FOR ORION PROSPER LAKES</t>
        </is>
      </c>
      <c r="B2" t="inlineStr">
        <is>
          <t>Obtain contract file from property management or procurement team</t>
        </is>
      </c>
      <c r="C2" t="inlineStr">
        <is>
          <t>Cannot analyze renewal dates, rate terms, or contract obligations</t>
        </is>
      </c>
      <c r="D2" t="inlineStr">
        <is>
          <t>Request contract file and add CONTRACT_TERMS analysis when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2025-11-03T20:37:54Z</dcterms:created>
  <dcterms:modified xmlns:dcterms="http://purl.org/dc/terms/" xmlns:xsi="http://www.w3.org/2001/XMLSchema-instance" xsi:type="dcterms:W3CDTF">2025-11-03T20:37:54Z</dcterms:modified>
</cp:coreProperties>
</file>