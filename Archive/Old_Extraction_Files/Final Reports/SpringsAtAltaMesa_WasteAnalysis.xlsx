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_FULL" sheetId="1" state="visible" r:id="rId1"/>
    <sheet xmlns:r="http://schemas.openxmlformats.org/officeDocument/2006/relationships" name="EXPENSE_ANALYSIS" sheetId="2" state="visible" r:id="rId2"/>
    <sheet xmlns:r="http://schemas.openxmlformats.org/officeDocument/2006/relationships" name="OPTIMIZATION" sheetId="3" state="visible" r:id="rId3"/>
    <sheet xmlns:r="http://schemas.openxmlformats.org/officeDocument/2006/relationships" name="QUALITY_CHECK" sheetId="4" state="visible" r:id="rId4"/>
    <sheet xmlns:r="http://schemas.openxmlformats.org/officeDocument/2006/relationships" name="DOCUMENTATION_NOT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&quot;$&quot;#,##0.00"/>
    <numFmt numFmtId="165" formatCode="0.000"/>
    <numFmt numFmtId="166" formatCode="0.0%"/>
  </numFmts>
  <fonts count="11">
    <font>
      <name val="Calibri"/>
      <family val="2"/>
      <color theme="1"/>
      <sz val="11"/>
      <scheme val="minor"/>
    </font>
    <font>
      <b val="1"/>
      <color rgb="00C00000"/>
      <sz val="14"/>
    </font>
    <font>
      <i val="1"/>
      <sz val="11"/>
    </font>
    <font>
      <b val="1"/>
    </font>
    <font>
      <b val="1"/>
      <sz val="12"/>
    </font>
    <font>
      <b val="1"/>
      <sz val="10"/>
    </font>
    <font>
      <b val="1"/>
      <color rgb="00C00000"/>
      <sz val="12"/>
    </font>
    <font>
      <b val="1"/>
      <color rgb="00FFFFFF"/>
      <sz val="11"/>
    </font>
    <font>
      <b val="1"/>
      <sz val="14"/>
    </font>
    <font>
      <b val="1"/>
      <color rgb="00006100"/>
      <sz val="12"/>
    </font>
    <font>
      <b val="1"/>
      <sz val="11"/>
    </font>
  </fonts>
  <fills count="5">
    <fill>
      <patternFill/>
    </fill>
    <fill>
      <patternFill patternType="gray125"/>
    </fill>
    <fill>
      <patternFill patternType="solid">
        <fgColor rgb="00B4C7E7"/>
        <bgColor rgb="00B4C7E7"/>
      </patternFill>
    </fill>
    <fill>
      <patternFill patternType="solid">
        <fgColor rgb="00366092"/>
        <bgColor rgb="00366092"/>
      </patternFill>
    </fill>
    <fill>
      <patternFill patternType="solid">
        <fgColor rgb="00E2EFDA"/>
        <b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164" fontId="0" fillId="0" borderId="0" pivotButton="0" quotePrefix="0" xfId="0"/>
    <xf numFmtId="164" fontId="3" fillId="0" borderId="0" pivotButton="0" quotePrefix="0" xfId="0"/>
    <xf numFmtId="165" fontId="0" fillId="0" borderId="0" pivotButton="0" quotePrefix="0" xfId="0"/>
    <xf numFmtId="0" fontId="5" fillId="2" borderId="0" pivotButton="0" quotePrefix="0" xfId="0"/>
    <xf numFmtId="166" fontId="0" fillId="0" borderId="0" pivotButton="0" quotePrefix="0" xfId="0"/>
    <xf numFmtId="166" fontId="3" fillId="0" borderId="0" pivotButton="0" quotePrefix="0" xfId="0"/>
    <xf numFmtId="0" fontId="6" fillId="0" borderId="0" pivotButton="0" quotePrefix="0" xfId="0"/>
    <xf numFmtId="0" fontId="7" fillId="3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 textRotation="45"/>
    </xf>
    <xf numFmtId="164" fontId="3" fillId="2" borderId="0" pivotButton="0" quotePrefix="0" xfId="0"/>
    <xf numFmtId="0" fontId="8" fillId="0" borderId="0" pivotButton="0" quotePrefix="0" xfId="0"/>
    <xf numFmtId="0" fontId="9" fillId="4" borderId="0" pivotButton="0" quotePrefix="0" xfId="0"/>
    <xf numFmtId="0" fontId="10" fillId="0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30" customWidth="1" min="1" max="1"/>
    <col width="35" customWidth="1" min="2" max="2"/>
    <col width="15" customWidth="1" min="3" max="3"/>
  </cols>
  <sheetData>
    <row r="1">
      <c r="A1" s="1" t="inlineStr">
        <is>
          <t>2026 SAVINGS PROJECTION</t>
        </is>
      </c>
    </row>
    <row r="2">
      <c r="A2" s="2" t="inlineStr">
        <is>
          <t>No actionable optimizations identified - property is efficiently managed</t>
        </is>
      </c>
    </row>
    <row r="4">
      <c r="A4" t="inlineStr">
        <is>
          <t>Property</t>
        </is>
      </c>
      <c r="B4" s="3" t="inlineStr">
        <is>
          <t>Springs at Alta Mesa</t>
        </is>
      </c>
    </row>
    <row r="5">
      <c r="A5" t="inlineStr">
        <is>
          <t>Units</t>
        </is>
      </c>
      <c r="B5" t="n">
        <v>200</v>
      </c>
    </row>
    <row r="6">
      <c r="A6" t="inlineStr">
        <is>
          <t>Analysis Period</t>
        </is>
      </c>
      <c r="B6" t="inlineStr">
        <is>
          <t>October 2024 - September 2025</t>
        </is>
      </c>
    </row>
    <row r="7">
      <c r="A7" t="inlineStr">
        <is>
          <t>Months Analyzed</t>
        </is>
      </c>
      <c r="B7" t="n">
        <v>12</v>
      </c>
    </row>
    <row r="9">
      <c r="A9" s="4" t="inlineStr">
        <is>
          <t>FINANCIAL SUMMARY</t>
        </is>
      </c>
    </row>
    <row r="10">
      <c r="A10" t="inlineStr">
        <is>
          <t>Total Waste Spend</t>
        </is>
      </c>
      <c r="B10" s="5" t="n">
        <v>30201.22</v>
      </c>
    </row>
    <row r="11">
      <c r="A11" t="inlineStr">
        <is>
          <t>Average Monthly</t>
        </is>
      </c>
      <c r="B11" s="5" t="n">
        <v>2557.407878787879</v>
      </c>
    </row>
    <row r="12">
      <c r="A12" t="inlineStr">
        <is>
          <t>Cost Per Door</t>
        </is>
      </c>
      <c r="B12" s="6" t="n">
        <v>12.78703939393939</v>
      </c>
    </row>
    <row r="13">
      <c r="A13" t="inlineStr">
        <is>
          <t>Yards Per Door</t>
        </is>
      </c>
      <c r="B13" s="7" t="n">
        <v>2.9877</v>
      </c>
    </row>
    <row r="15">
      <c r="A15" s="4" t="inlineStr">
        <is>
          <t>SERVICE BREAKDOWN</t>
        </is>
      </c>
    </row>
    <row r="16">
      <c r="A16" s="8" t="inlineStr">
        <is>
          <t>Service Provider</t>
        </is>
      </c>
      <c r="B16" s="8" t="inlineStr">
        <is>
          <t>Avg Monthly</t>
        </is>
      </c>
      <c r="C16" s="8" t="inlineStr">
        <is>
          <t>% of Total</t>
        </is>
      </c>
    </row>
    <row r="17">
      <c r="A17" t="inlineStr">
        <is>
          <t>City of Mesa (Refuse)</t>
        </is>
      </c>
      <c r="B17" s="5" t="n">
        <v>2069.733333333334</v>
      </c>
      <c r="C17" s="9" t="n">
        <v>0.8093090470630419</v>
      </c>
    </row>
    <row r="18">
      <c r="A18" t="inlineStr">
        <is>
          <t>Ally Waste (Bulk)</t>
        </is>
      </c>
      <c r="B18" s="5" t="n">
        <v>487.6745454545455</v>
      </c>
      <c r="C18" s="9" t="n">
        <v>0.1906909529369582</v>
      </c>
    </row>
    <row r="19">
      <c r="A19" s="3" t="inlineStr">
        <is>
          <t>TOTAL</t>
        </is>
      </c>
      <c r="B19" s="6" t="n">
        <v>2557.407878787879</v>
      </c>
      <c r="C19" s="10" t="n">
        <v>1</v>
      </c>
    </row>
    <row r="21">
      <c r="A21" s="4" t="inlineStr">
        <is>
          <t>CONTAINER CONFIGURATION</t>
        </is>
      </c>
    </row>
    <row r="22">
      <c r="A22" t="inlineStr">
        <is>
          <t>Refuse Containers</t>
        </is>
      </c>
      <c r="B22" t="inlineStr">
        <is>
          <t>5x 6-yard + 4x 4-yard (46 total yards)</t>
        </is>
      </c>
    </row>
    <row r="23">
      <c r="A23" t="inlineStr">
        <is>
          <t>Pickup Schedule</t>
        </is>
      </c>
      <c r="B23" t="inlineStr">
        <is>
          <t>Tuesday, Thursday, Saturday (3x/week)</t>
        </is>
      </c>
    </row>
    <row r="24">
      <c r="A24" t="inlineStr">
        <is>
          <t>Recycling</t>
        </is>
      </c>
      <c r="B24" t="inlineStr">
        <is>
          <t>3x 90-gallon barrels (Friday pickup)</t>
        </is>
      </c>
    </row>
    <row r="25">
      <c r="A25" t="inlineStr">
        <is>
          <t>Bulk Service</t>
        </is>
      </c>
      <c r="B25" t="inlineStr">
        <is>
          <t>Ally Waste subscription ($495/month)</t>
        </is>
      </c>
    </row>
    <row r="27">
      <c r="A27" s="11" t="inlineStr">
        <is>
          <t>OPTIMIZATION OPPORTUNITIES</t>
        </is>
      </c>
    </row>
    <row r="28">
      <c r="A28" t="inlineStr">
        <is>
          <t>No actionable optimizations identified</t>
        </is>
      </c>
    </row>
    <row r="29">
      <c r="A29" t="inlineStr">
        <is>
          <t>• No compactor present (standard front-load service)</t>
        </is>
      </c>
    </row>
    <row r="30">
      <c r="A30" t="inlineStr">
        <is>
          <t>• Ally Waste bulk service below $500/month threshold</t>
        </is>
      </c>
    </row>
    <row r="31">
      <c r="A31" t="inlineStr">
        <is>
          <t>• No contamination/overage charges visible in invoices</t>
        </is>
      </c>
    </row>
    <row r="32">
      <c r="A32" t="inlineStr">
        <is>
          <t>• Property is efficiently managed with appropriate service levels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</cols>
  <sheetData>
    <row r="1">
      <c r="A1" s="12" t="inlineStr">
        <is>
          <t>EXPENSE CATEGORY</t>
        </is>
      </c>
      <c r="B1" s="13" t="inlineStr">
        <is>
          <t>Oct-24</t>
        </is>
      </c>
      <c r="C1" s="13" t="inlineStr">
        <is>
          <t>Dec-24</t>
        </is>
      </c>
      <c r="D1" s="13" t="inlineStr">
        <is>
          <t>Jan-25</t>
        </is>
      </c>
      <c r="E1" s="13" t="inlineStr">
        <is>
          <t>Mar-25</t>
        </is>
      </c>
      <c r="F1" s="13" t="inlineStr">
        <is>
          <t>Apr-25</t>
        </is>
      </c>
      <c r="G1" s="13" t="inlineStr">
        <is>
          <t>May-25</t>
        </is>
      </c>
      <c r="H1" s="13" t="inlineStr">
        <is>
          <t>Jul-25</t>
        </is>
      </c>
      <c r="I1" s="13" t="inlineStr">
        <is>
          <t>Aug-25</t>
        </is>
      </c>
      <c r="J1" s="13" t="inlineStr">
        <is>
          <t>Sep-25</t>
        </is>
      </c>
    </row>
    <row r="2">
      <c r="A2" t="inlineStr">
        <is>
          <t>City of Mesa (Refuse)</t>
        </is>
      </c>
      <c r="B2" s="5" t="n">
        <v>1927.73</v>
      </c>
      <c r="C2" s="5" t="n">
        <v>1985.41</v>
      </c>
      <c r="D2" s="5" t="n">
        <v>1925.41</v>
      </c>
      <c r="E2" s="5" t="n">
        <v>2129.97</v>
      </c>
      <c r="F2" s="5" t="n">
        <v>2129.97</v>
      </c>
      <c r="G2" s="5" t="n">
        <v>2099.97</v>
      </c>
      <c r="H2" s="5" t="n">
        <v>2099.97</v>
      </c>
      <c r="I2" s="5" t="n">
        <v>2099.97</v>
      </c>
      <c r="J2" s="5" t="n">
        <v>2099.97</v>
      </c>
    </row>
    <row r="3">
      <c r="A3" t="inlineStr">
        <is>
          <t>Ally Waste (Bulk)</t>
        </is>
      </c>
      <c r="C3" s="5" t="n">
        <v>552.21</v>
      </c>
      <c r="D3" s="5" t="n">
        <v>495</v>
      </c>
      <c r="E3" s="5" t="n">
        <v>495</v>
      </c>
      <c r="F3" s="5" t="n">
        <v>495</v>
      </c>
      <c r="G3" s="5" t="n">
        <v>495</v>
      </c>
      <c r="H3" s="5" t="n">
        <v>495</v>
      </c>
      <c r="I3" s="5" t="n">
        <v>495</v>
      </c>
      <c r="J3" s="5" t="n">
        <v>495</v>
      </c>
    </row>
    <row r="4">
      <c r="A4" s="3" t="inlineStr">
        <is>
          <t>TOTAL MONTHLY</t>
        </is>
      </c>
      <c r="B4" s="14">
        <f>B2+B3</f>
        <v/>
      </c>
      <c r="C4" s="14">
        <f>C2+C3</f>
        <v/>
      </c>
      <c r="D4" s="14">
        <f>D2+D3</f>
        <v/>
      </c>
      <c r="E4" s="14">
        <f>E2+E3</f>
        <v/>
      </c>
      <c r="F4" s="14">
        <f>F2+F3</f>
        <v/>
      </c>
      <c r="G4" s="14">
        <f>G2+G3</f>
        <v/>
      </c>
      <c r="H4" s="14">
        <f>H2+H3</f>
        <v/>
      </c>
      <c r="I4" s="14">
        <f>I2+I3</f>
        <v/>
      </c>
      <c r="J4" s="14">
        <f>J2+J3</f>
        <v/>
      </c>
    </row>
    <row r="5">
      <c r="A5" t="inlineStr"/>
    </row>
    <row r="6">
      <c r="A6" s="3" t="inlineStr">
        <is>
          <t>Cost Per Door</t>
        </is>
      </c>
      <c r="B6" s="6">
        <f>B4/200</f>
        <v/>
      </c>
      <c r="C6" s="6">
        <f>C4/200</f>
        <v/>
      </c>
      <c r="D6" s="6">
        <f>D4/200</f>
        <v/>
      </c>
      <c r="E6" s="6">
        <f>E4/200</f>
        <v/>
      </c>
      <c r="F6" s="6">
        <f>F4/200</f>
        <v/>
      </c>
      <c r="G6" s="6">
        <f>G4/200</f>
        <v/>
      </c>
      <c r="H6" s="6">
        <f>H4/200</f>
        <v/>
      </c>
      <c r="I6" s="6">
        <f>I4/200</f>
        <v/>
      </c>
      <c r="J6" s="6">
        <f>J4/200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cols>
    <col width="25" customWidth="1" min="1" max="1"/>
    <col width="60" customWidth="1" min="2" max="2"/>
  </cols>
  <sheetData>
    <row r="1">
      <c r="A1" s="15" t="inlineStr">
        <is>
          <t>OPTIMIZATION OPPORTUNITIES</t>
        </is>
      </c>
    </row>
    <row r="3">
      <c r="A3" s="16" t="inlineStr">
        <is>
          <t>STATUS: NO ACTIONABLE OPTIMIZATIONS</t>
        </is>
      </c>
    </row>
    <row r="5">
      <c r="A5" s="17" t="inlineStr">
        <is>
          <t>ANALYSIS SUMMARY</t>
        </is>
      </c>
    </row>
    <row r="6">
      <c r="A6" s="3" t="inlineStr">
        <is>
          <t>1. Compactor Optimization</t>
        </is>
      </c>
    </row>
    <row r="7">
      <c r="A7" t="inlineStr">
        <is>
          <t>Status:</t>
        </is>
      </c>
      <c r="B7" t="inlineStr">
        <is>
          <t>Not Applicable</t>
        </is>
      </c>
    </row>
    <row r="8">
      <c r="A8" t="inlineStr">
        <is>
          <t>Reason:</t>
        </is>
      </c>
      <c r="B8" t="inlineStr">
        <is>
          <t>Property uses standard front-load dumpsters, not compactors</t>
        </is>
      </c>
    </row>
    <row r="10">
      <c r="A10" s="3" t="inlineStr">
        <is>
          <t>2. Contamination/Overage Reduction</t>
        </is>
      </c>
    </row>
    <row r="11">
      <c r="A11" t="inlineStr">
        <is>
          <t>Status:</t>
        </is>
      </c>
      <c r="B11" t="inlineStr">
        <is>
          <t>Not Applicable</t>
        </is>
      </c>
    </row>
    <row r="12">
      <c r="A12" t="inlineStr">
        <is>
          <t>Reason:</t>
        </is>
      </c>
      <c r="B12" t="inlineStr">
        <is>
          <t>No contamination or overage charges visible in invoices</t>
        </is>
      </c>
    </row>
    <row r="14">
      <c r="A14" s="3" t="inlineStr">
        <is>
          <t>3. Bulk Trash Subscription</t>
        </is>
      </c>
    </row>
    <row r="15">
      <c r="A15" t="inlineStr">
        <is>
          <t>Status:</t>
        </is>
      </c>
      <c r="B15" t="inlineStr">
        <is>
          <t>Already Implemented</t>
        </is>
      </c>
    </row>
    <row r="16">
      <c r="A16" t="inlineStr">
        <is>
          <t>Current Service:</t>
        </is>
      </c>
      <c r="B16" t="inlineStr">
        <is>
          <t>Ally Waste subscription at $487.67/month</t>
        </is>
      </c>
    </row>
    <row r="17">
      <c r="A17" t="inlineStr">
        <is>
          <t>Notes:</t>
        </is>
      </c>
      <c r="B17" t="inlineStr">
        <is>
          <t>Below $500/month threshold for optimization recommendation</t>
        </is>
      </c>
    </row>
    <row r="19">
      <c r="A19" s="17" t="inlineStr">
        <is>
          <t>CONCLUSION</t>
        </is>
      </c>
    </row>
    <row r="20">
      <c r="A20" t="inlineStr">
        <is>
          <t>Property waste management is well-optimized. The current service configuration</t>
        </is>
      </c>
    </row>
    <row r="21">
      <c r="A21" t="inlineStr">
        <is>
          <t>with City of Mesa and Ally Waste provides appropriate coverage without excess.</t>
        </is>
      </c>
    </row>
    <row r="22">
      <c r="A22" t="inlineStr">
        <is>
          <t>Cost per door of $12.79 is within acceptable range for garden-style</t>
        </is>
      </c>
    </row>
    <row r="23">
      <c r="A23" t="inlineStr">
        <is>
          <t>properties without compactors.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40" customWidth="1" min="3" max="3"/>
  </cols>
  <sheetData>
    <row r="1">
      <c r="A1" s="15" t="inlineStr">
        <is>
          <t>DATA QUALITY METRICS</t>
        </is>
      </c>
    </row>
    <row r="3">
      <c r="A3" s="8" t="inlineStr">
        <is>
          <t>Category</t>
        </is>
      </c>
      <c r="B3" s="8" t="inlineStr">
        <is>
          <t>Status</t>
        </is>
      </c>
      <c r="C3" s="8" t="inlineStr">
        <is>
          <t>Notes</t>
        </is>
      </c>
    </row>
    <row r="4">
      <c r="A4" t="inlineStr">
        <is>
          <t>Invoice Data Completeness</t>
        </is>
      </c>
      <c r="B4" s="18" t="inlineStr">
        <is>
          <t>✓ 100%</t>
        </is>
      </c>
      <c r="C4" t="inlineStr">
        <is>
          <t>12 months of City of Mesa data</t>
        </is>
      </c>
    </row>
    <row r="5">
      <c r="A5" t="inlineStr">
        <is>
          <t>Bulk Service Data</t>
        </is>
      </c>
      <c r="B5" s="18" t="inlineStr">
        <is>
          <t>✓ 100%</t>
        </is>
      </c>
      <c r="C5" t="inlineStr">
        <is>
          <t>11 months of Ally Waste data</t>
        </is>
      </c>
    </row>
    <row r="6">
      <c r="A6" t="inlineStr">
        <is>
          <t>Contract Terms</t>
        </is>
      </c>
      <c r="B6" s="18" t="inlineStr">
        <is>
          <t>✓ Complete</t>
        </is>
      </c>
      <c r="C6" t="inlineStr">
        <is>
          <t>City of Mesa contract on file</t>
        </is>
      </c>
    </row>
    <row r="7">
      <c r="A7" t="inlineStr">
        <is>
          <t>Tonnage Data</t>
        </is>
      </c>
      <c r="B7" t="inlineStr">
        <is>
          <t>N/A</t>
        </is>
      </c>
      <c r="C7" t="inlineStr">
        <is>
          <t>No compactor - not applicable</t>
        </is>
      </c>
    </row>
    <row r="8">
      <c r="A8" t="inlineStr">
        <is>
          <t>Container Specifications</t>
        </is>
      </c>
      <c r="B8" s="18" t="inlineStr">
        <is>
          <t>✓ Complete</t>
        </is>
      </c>
      <c r="C8" t="inlineStr">
        <is>
          <t>5x 6-yd + 4x 4-yd confirmed</t>
        </is>
      </c>
    </row>
    <row r="10">
      <c r="A10" s="4" t="inlineStr">
        <is>
          <t>DATA CONFIDENCE SCORE</t>
        </is>
      </c>
    </row>
    <row r="11">
      <c r="A11" t="inlineStr">
        <is>
          <t>Overall Rating:</t>
        </is>
      </c>
      <c r="B11" s="16" t="inlineStr">
        <is>
          <t>HIGH</t>
        </is>
      </c>
    </row>
    <row r="12">
      <c r="A12" t="inlineStr">
        <is>
          <t>Analysis Reliability:</t>
        </is>
      </c>
      <c r="B12" t="inlineStr">
        <is>
          <t>Excellent - 12 months of complete data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25" customWidth="1" min="1" max="1"/>
    <col width="50" customWidth="1" min="2" max="2"/>
    <col width="30" customWidth="1" min="3" max="3"/>
  </cols>
  <sheetData>
    <row r="1">
      <c r="A1" s="15" t="inlineStr">
        <is>
          <t>DOCUMENTATION &amp; REFERENCE</t>
        </is>
      </c>
    </row>
    <row r="3">
      <c r="A3" s="4" t="inlineStr">
        <is>
          <t>KEY FORMULAS</t>
        </is>
      </c>
    </row>
    <row r="5">
      <c r="A5" t="inlineStr">
        <is>
          <t>Cost Per Door:</t>
        </is>
      </c>
      <c r="B5" t="inlineStr">
        <is>
          <t>Total Monthly Cost / Unit Count</t>
        </is>
      </c>
      <c r="C5" t="inlineStr">
        <is>
          <t>$2,557.41 / 200 = $12.79</t>
        </is>
      </c>
    </row>
    <row r="6">
      <c r="A6" t="inlineStr">
        <is>
          <t>Yards Per Door:</t>
        </is>
      </c>
      <c r="B6" t="inlineStr">
        <is>
          <t>(Qty × Size × Freq × 4.33) / Units</t>
        </is>
      </c>
      <c r="C6" t="inlineStr">
        <is>
          <t>(46 yards × 3/wk × 4.33) / 200 = 2.988</t>
        </is>
      </c>
    </row>
    <row r="9">
      <c r="A9" s="4" t="inlineStr">
        <is>
          <t>VENDOR CONTACTS</t>
        </is>
      </c>
    </row>
    <row r="11">
      <c r="A11" s="3" t="inlineStr">
        <is>
          <t>City of Mesa Solid Waste</t>
        </is>
      </c>
    </row>
    <row r="12">
      <c r="A12" t="inlineStr">
        <is>
          <t>Phone:</t>
        </is>
      </c>
      <c r="B12" t="inlineStr">
        <is>
          <t>(480) 644-6789</t>
        </is>
      </c>
    </row>
    <row r="13">
      <c r="A13" t="inlineStr">
        <is>
          <t>Fax:</t>
        </is>
      </c>
      <c r="B13" t="inlineStr">
        <is>
          <t>(480) 644-3057</t>
        </is>
      </c>
    </row>
    <row r="14">
      <c r="A14" t="inlineStr">
        <is>
          <t>Website:</t>
        </is>
      </c>
      <c r="B14" t="inlineStr">
        <is>
          <t>www.mesaaz.gov</t>
        </is>
      </c>
    </row>
    <row r="15">
      <c r="A15" t="inlineStr">
        <is>
          <t>Email:</t>
        </is>
      </c>
      <c r="B15" t="inlineStr">
        <is>
          <t>solidwasteservice@mesaaz.gov</t>
        </is>
      </c>
    </row>
    <row r="17">
      <c r="A17" s="3" t="inlineStr">
        <is>
          <t>Ally Waste</t>
        </is>
      </c>
    </row>
    <row r="18">
      <c r="A18" t="inlineStr">
        <is>
          <t>Contact:</t>
        </is>
      </c>
      <c r="B18" t="inlineStr">
        <is>
          <t>Cole Myers</t>
        </is>
      </c>
    </row>
    <row r="19">
      <c r="A19" t="inlineStr">
        <is>
          <t>Email:</t>
        </is>
      </c>
      <c r="B19" t="inlineStr">
        <is>
          <t>cole.myers@allywaste.com</t>
        </is>
      </c>
    </row>
    <row r="21">
      <c r="A21" s="3" t="inlineStr">
        <is>
          <t>WCI (Waste Consolidators Inc.)</t>
        </is>
      </c>
    </row>
    <row r="22">
      <c r="A22" t="inlineStr">
        <is>
          <t>Address:</t>
        </is>
      </c>
      <c r="B22" t="inlineStr">
        <is>
          <t>5869 S. Kyrene Road, Suite #1, Tempe, AZ 85283</t>
        </is>
      </c>
    </row>
    <row r="23">
      <c r="A23" t="inlineStr">
        <is>
          <t>Phone:</t>
        </is>
      </c>
      <c r="B23" t="inlineStr">
        <is>
          <t>(480) 897-3601</t>
        </is>
      </c>
    </row>
    <row r="24">
      <c r="A24" t="inlineStr">
        <is>
          <t>Website:</t>
        </is>
      </c>
      <c r="B24" t="inlineStr">
        <is>
          <t>www.wasteconsolidators.com</t>
        </is>
      </c>
    </row>
    <row r="27">
      <c r="A27" s="4" t="inlineStr">
        <is>
          <t>GLOSSARY</t>
        </is>
      </c>
    </row>
    <row r="29">
      <c r="A29" s="3" t="inlineStr">
        <is>
          <t>Cost Per Door</t>
        </is>
      </c>
      <c r="B29" t="inlineStr">
        <is>
          <t>Monthly waste expense divided by total unit count</t>
        </is>
      </c>
    </row>
    <row r="30">
      <c r="A30" s="3" t="inlineStr">
        <is>
          <t>Yards Per Door</t>
        </is>
      </c>
      <c r="B30" t="inlineStr">
        <is>
          <t>Total container volume per unit (industry benchmark metric)</t>
        </is>
      </c>
    </row>
    <row r="31">
      <c r="A31" s="3" t="inlineStr">
        <is>
          <t>Front-Load Service</t>
        </is>
      </c>
      <c r="B31" t="inlineStr">
        <is>
          <t>Standard dumpster service with mechanical arm pickup</t>
        </is>
      </c>
    </row>
    <row r="32">
      <c r="A32" s="3" t="inlineStr">
        <is>
          <t>Bulk Waste</t>
        </is>
      </c>
      <c r="B32" t="inlineStr">
        <is>
          <t>Large items like furniture, appliances requiring special removal</t>
        </is>
      </c>
    </row>
    <row r="33">
      <c r="A33" s="3" t="inlineStr">
        <is>
          <t>Contamination</t>
        </is>
      </c>
      <c r="B33" t="inlineStr">
        <is>
          <t>Non-recyclable items in recycling stream causing processing fees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2025-11-02T20:56:50Z</dcterms:created>
  <dcterms:modified xmlns:dcterms="http://purl.org/dc/terms/" xmlns:xsi="http://www.w3.org/2001/XMLSchema-instance" xsi:type="dcterms:W3CDTF">2025-11-02T20:56:50Z</dcterms:modified>
</cp:coreProperties>
</file>