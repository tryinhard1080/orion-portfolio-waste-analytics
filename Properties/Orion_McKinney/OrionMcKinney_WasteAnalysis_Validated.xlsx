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QUALITY_CHECK" sheetId="4" state="visible" r:id="rId4"/>
    <sheet xmlns:r="http://schemas.openxmlformats.org/officeDocument/2006/relationships" name="DOCUMENTATION_NOTES" sheetId="5" state="visible" r:id="rId5"/>
    <sheet xmlns:r="http://schemas.openxmlformats.org/officeDocument/2006/relationships" name="CONTRACT_TERMS" sheetId="6" state="visible" r:id="rId6"/>
    <sheet xmlns:r="http://schemas.openxmlformats.org/officeDocument/2006/relationships" name="REGULATORY_COMPLI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1E3A8A"/>
      <sz val="14"/>
    </font>
    <font>
      <b val="1"/>
    </font>
    <font>
      <b val="1"/>
      <color rgb="00F59E0B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3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ORION MCKINNEY - WASTE MANAGEMENT ANALYSIS</t>
        </is>
      </c>
    </row>
    <row r="2">
      <c r="A2" t="inlineStr">
        <is>
          <t>Generated: 2025-11-03 14:11</t>
        </is>
      </c>
    </row>
    <row r="3"/>
    <row r="4">
      <c r="A4" s="2" t="inlineStr">
        <is>
          <t>PROPERTY INFORMATION</t>
        </is>
      </c>
    </row>
    <row r="5">
      <c r="A5" t="inlineStr">
        <is>
          <t>Property Name</t>
        </is>
      </c>
      <c r="B5" t="inlineStr">
        <is>
          <t>Orion McKinney</t>
        </is>
      </c>
    </row>
    <row r="6">
      <c r="A6" t="inlineStr">
        <is>
          <t>Units</t>
        </is>
      </c>
      <c r="B6" t="n">
        <v>453</v>
      </c>
    </row>
    <row r="7">
      <c r="A7" t="inlineStr">
        <is>
          <t>Property Type</t>
        </is>
      </c>
      <c r="B7" t="inlineStr">
        <is>
          <t>Garden-Style</t>
        </is>
      </c>
    </row>
    <row r="8"/>
    <row r="9">
      <c r="A9" s="2" t="inlineStr">
        <is>
          <t>VENDOR INFORMATION</t>
        </is>
      </c>
    </row>
    <row r="10">
      <c r="A10" t="inlineStr">
        <is>
          <t>Primary Vendor</t>
        </is>
      </c>
      <c r="B10" t="inlineStr">
        <is>
          <t>Frontier Waste Solutions</t>
        </is>
      </c>
    </row>
    <row r="11">
      <c r="A11" t="inlineStr">
        <is>
          <t>Secondary Vendor</t>
        </is>
      </c>
      <c r="B11" t="inlineStr">
        <is>
          <t>City of McKinney</t>
        </is>
      </c>
    </row>
    <row r="12">
      <c r="A12" t="inlineStr">
        <is>
          <t>Account #</t>
        </is>
      </c>
      <c r="B12" t="inlineStr">
        <is>
          <t>239522</t>
        </is>
      </c>
    </row>
    <row r="13"/>
    <row r="14">
      <c r="A14" s="2" t="inlineStr">
        <is>
          <t>DATA PERIOD</t>
        </is>
      </c>
    </row>
    <row r="15">
      <c r="A15" t="inlineStr">
        <is>
          <t>Start Date</t>
        </is>
      </c>
      <c r="B15" t="inlineStr">
        <is>
          <t>2025-01-15</t>
        </is>
      </c>
    </row>
    <row r="16">
      <c r="A16" t="inlineStr">
        <is>
          <t>End Date</t>
        </is>
      </c>
      <c r="B16" t="inlineStr">
        <is>
          <t>2025-09-15</t>
        </is>
      </c>
    </row>
    <row r="17">
      <c r="A17" t="inlineStr">
        <is>
          <t>Months Analyzed</t>
        </is>
      </c>
      <c r="B17" t="n">
        <v>9</v>
      </c>
    </row>
    <row r="18"/>
    <row r="19">
      <c r="A19" s="2" t="inlineStr">
        <is>
          <t>FINANCIAL SUMMARY</t>
        </is>
      </c>
    </row>
    <row r="20">
      <c r="A20" t="inlineStr">
        <is>
          <t>Total Spend</t>
        </is>
      </c>
      <c r="B20" t="n">
        <v>434711.87</v>
      </c>
      <c r="C20">
        <f>B20</f>
        <v/>
      </c>
    </row>
    <row r="21">
      <c r="A21" t="inlineStr">
        <is>
          <t>Average Monthly Cost</t>
        </is>
      </c>
      <c r="B21" t="n">
        <v>48301.31888888889</v>
      </c>
      <c r="C21">
        <f>B20/B17</f>
        <v/>
      </c>
    </row>
    <row r="22">
      <c r="A22" t="inlineStr">
        <is>
          <t>Cost Per Door</t>
        </is>
      </c>
      <c r="B22">
        <f>B21/453</f>
        <v/>
      </c>
      <c r="D22" t="inlineStr">
        <is>
          <t>Monthly cost divided by units</t>
        </is>
      </c>
    </row>
    <row r="23"/>
    <row r="24">
      <c r="A24" s="2" t="inlineStr">
        <is>
          <t>SERVICE CONFIGURATION</t>
        </is>
      </c>
    </row>
    <row r="25">
      <c r="A25" t="inlineStr">
        <is>
          <t>Service Type</t>
        </is>
      </c>
      <c r="B25" t="inlineStr">
        <is>
          <t>Front-End Load (FEL) Dumpsters</t>
        </is>
      </c>
    </row>
    <row r="26">
      <c r="A26" t="inlineStr">
        <is>
          <t>8-Yard Containers</t>
        </is>
      </c>
      <c r="B26" t="n">
        <v>8</v>
      </c>
    </row>
    <row r="27">
      <c r="A27" t="inlineStr">
        <is>
          <t>10-Yard Containers</t>
        </is>
      </c>
      <c r="B27" t="n">
        <v>2</v>
      </c>
    </row>
    <row r="28">
      <c r="A28" t="inlineStr">
        <is>
          <t>Pickup Frequency</t>
        </is>
      </c>
      <c r="B28" t="inlineStr">
        <is>
          <t>3x per week</t>
        </is>
      </c>
    </row>
    <row r="29"/>
    <row r="30">
      <c r="A30" s="2" t="inlineStr">
        <is>
          <t>PERFORMANCE METRICS</t>
        </is>
      </c>
    </row>
    <row r="31">
      <c r="A31" t="inlineStr">
        <is>
          <t>Monthly Service Volume</t>
        </is>
      </c>
      <c r="B31" t="n">
        <v>1091.16</v>
      </c>
      <c r="C31">
        <f>(8*8*3*4.33)+(2*10*3*4.33)</f>
        <v/>
      </c>
    </row>
    <row r="32">
      <c r="A32" t="inlineStr">
        <is>
          <t>Yards Per Door</t>
        </is>
      </c>
      <c r="B32" t="n">
        <v>2.408741721854305</v>
      </c>
      <c r="C32">
        <f>B30/453</f>
        <v/>
      </c>
    </row>
    <row r="33">
      <c r="A33" t="inlineStr">
        <is>
          <t>Benchmark Range</t>
        </is>
      </c>
      <c r="B33" t="inlineStr">
        <is>
          <t>2.0-2.5 yards/door/month</t>
        </is>
      </c>
    </row>
    <row r="34">
      <c r="A34" t="inlineStr">
        <is>
          <t>Status</t>
        </is>
      </c>
      <c r="B34" t="inlineStr">
        <is>
          <t>WITHIN BENCHMARK</t>
        </is>
      </c>
    </row>
    <row r="35">
      <c r="A35" s="2" t="inlineStr"/>
    </row>
    <row r="36">
      <c r="A36" t="inlineStr">
        <is>
          <t>CONTAMINATION &amp; OVERAGES</t>
        </is>
      </c>
    </row>
    <row r="37">
      <c r="A37" t="inlineStr">
        <is>
          <t>Overage Charges</t>
        </is>
      </c>
      <c r="B37" t="n">
        <v>454.72</v>
      </c>
      <c r="C37">
        <f>SUMIF(EXPENSE_ANALYSIS!E:E,"overage",EXPENSE_ANALYSIS!D:D)</f>
        <v/>
      </c>
    </row>
    <row r="38">
      <c r="A38" t="inlineStr">
        <is>
          <t>Overage Percentage</t>
        </is>
      </c>
      <c r="B38" t="n">
        <v>0.1046026187414666</v>
      </c>
      <c r="C38">
        <f>(B35/B20)*100</f>
        <v/>
      </c>
    </row>
    <row r="39">
      <c r="A39" t="inlineStr">
        <is>
          <t>Threshold for Optimization</t>
        </is>
      </c>
      <c r="B39" t="inlineStr">
        <is>
          <t>3-5%</t>
        </is>
      </c>
    </row>
    <row r="40">
      <c r="A40" s="2" t="inlineStr">
        <is>
          <t>Overage Status</t>
        </is>
      </c>
      <c r="B40" t="inlineStr">
        <is>
          <t>Well Below Threshold</t>
        </is>
      </c>
    </row>
    <row r="41"/>
    <row r="42">
      <c r="A42" t="inlineStr">
        <is>
          <t>KEY FINDINGS</t>
        </is>
      </c>
    </row>
    <row r="43">
      <c r="A43" t="inlineStr">
        <is>
          <t>1</t>
        </is>
      </c>
      <c r="B43" t="inlineStr">
        <is>
          <t>Service levels appropriate for property size and type</t>
        </is>
      </c>
    </row>
    <row r="44">
      <c r="A44" t="inlineStr">
        <is>
          <t>2</t>
        </is>
      </c>
      <c r="B44" t="inlineStr">
        <is>
          <t>Yards per door within Garden-Style benchmark (2.0-2.5)</t>
        </is>
      </c>
    </row>
    <row r="45">
      <c r="A45" t="inlineStr">
        <is>
          <t>3</t>
        </is>
      </c>
      <c r="B45" t="inlineStr">
        <is>
          <t>Minimal overage charges (0.10% of total spend)</t>
        </is>
      </c>
    </row>
    <row r="46">
      <c r="A46" t="inlineStr">
        <is>
          <t>4</t>
        </is>
      </c>
      <c r="B46" t="inlineStr">
        <is>
          <t>No contamination issues identified</t>
        </is>
      </c>
    </row>
    <row r="47">
      <c r="A47" t="inlineStr">
        <is>
          <t>5</t>
        </is>
      </c>
      <c r="B47" t="inlineStr">
        <is>
          <t>Cost per door includes significant municipal fees and taxes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</cols>
  <sheetData>
    <row r="1">
      <c r="A1" s="3" t="inlineStr">
        <is>
          <t>MONTHLY EXPENSE ANALYSIS</t>
        </is>
      </c>
    </row>
    <row r="2">
      <c r="A2" t="inlineStr">
        <is>
          <t>Property: Orion McKinney</t>
        </is>
      </c>
      <c r="B2" t="inlineStr">
        <is>
          <t>Units: 453</t>
        </is>
      </c>
    </row>
    <row r="4">
      <c r="A4" t="inlineStr">
        <is>
          <t>Month</t>
        </is>
      </c>
      <c r="B4" t="inlineStr">
        <is>
          <t>Total Cost</t>
        </is>
      </c>
      <c r="C4" t="inlineStr">
        <is>
          <t>Cost Per Door Formula</t>
        </is>
      </c>
      <c r="D4" t="inlineStr">
        <is>
          <t>Cost Per Door</t>
        </is>
      </c>
    </row>
    <row r="5">
      <c r="A5" t="inlineStr">
        <is>
          <t>2025-01</t>
        </is>
      </c>
      <c r="B5" t="n">
        <v>40873.98</v>
      </c>
      <c r="C5">
        <f>B5/453</f>
        <v/>
      </c>
      <c r="D5" t="n">
        <v>90.22953642384107</v>
      </c>
    </row>
    <row r="6">
      <c r="A6" t="inlineStr">
        <is>
          <t>2025-02</t>
        </is>
      </c>
      <c r="B6" t="n">
        <v>43993.53</v>
      </c>
      <c r="C6">
        <f>B6/453</f>
        <v/>
      </c>
      <c r="D6" t="n">
        <v>97.11596026490066</v>
      </c>
    </row>
    <row r="7">
      <c r="A7" t="inlineStr">
        <is>
          <t>2025-03</t>
        </is>
      </c>
      <c r="B7" t="n">
        <v>45631.08</v>
      </c>
      <c r="C7">
        <f>B7/453</f>
        <v/>
      </c>
      <c r="D7" t="n">
        <v>100.7308609271523</v>
      </c>
    </row>
    <row r="8">
      <c r="A8" t="inlineStr">
        <is>
          <t>2025-04</t>
        </is>
      </c>
      <c r="B8" t="n">
        <v>40873.98</v>
      </c>
      <c r="C8">
        <f>B8/453</f>
        <v/>
      </c>
      <c r="D8" t="n">
        <v>90.22953642384107</v>
      </c>
    </row>
    <row r="9">
      <c r="A9" t="inlineStr">
        <is>
          <t>2025-05</t>
        </is>
      </c>
      <c r="B9" t="n">
        <v>40873.98</v>
      </c>
      <c r="C9">
        <f>B9/453</f>
        <v/>
      </c>
      <c r="D9" t="n">
        <v>90.22953642384107</v>
      </c>
    </row>
    <row r="10">
      <c r="A10" t="inlineStr">
        <is>
          <t>2025-06</t>
        </is>
      </c>
      <c r="B10" t="n">
        <v>41328.7</v>
      </c>
      <c r="C10">
        <f>B10/453</f>
        <v/>
      </c>
      <c r="D10" t="n">
        <v>91.23333333333335</v>
      </c>
    </row>
    <row r="11">
      <c r="A11" t="inlineStr">
        <is>
          <t>2025-07</t>
        </is>
      </c>
      <c r="B11" t="n">
        <v>60870.1</v>
      </c>
      <c r="C11">
        <f>B11/453</f>
        <v/>
      </c>
      <c r="D11" t="n">
        <v>134.3710816777042</v>
      </c>
    </row>
    <row r="12">
      <c r="A12" t="inlineStr">
        <is>
          <t>2025-08</t>
        </is>
      </c>
      <c r="B12" t="n">
        <v>57871.71</v>
      </c>
      <c r="C12">
        <f>B12/453</f>
        <v/>
      </c>
      <c r="D12" t="n">
        <v>127.752119205298</v>
      </c>
    </row>
    <row r="13">
      <c r="A13" t="inlineStr">
        <is>
          <t>2025-09</t>
        </is>
      </c>
      <c r="B13" t="n">
        <v>57871.71</v>
      </c>
      <c r="C13">
        <f>B13/453</f>
        <v/>
      </c>
      <c r="D13" t="n">
        <v>127.752119205298</v>
      </c>
    </row>
    <row r="15">
      <c r="A15" t="inlineStr">
        <is>
          <t>EXPENSE BY CATEGORY</t>
        </is>
      </c>
    </row>
    <row r="17">
      <c r="A17" t="inlineStr">
        <is>
          <t>Month</t>
        </is>
      </c>
      <c r="B17" t="inlineStr">
        <is>
          <t>admin</t>
        </is>
      </c>
      <c r="C17" t="inlineStr">
        <is>
          <t>base</t>
        </is>
      </c>
      <c r="D17" t="inlineStr">
        <is>
          <t>franchise_fee</t>
        </is>
      </c>
      <c r="E17" t="inlineStr">
        <is>
          <t>overage</t>
        </is>
      </c>
      <c r="F17" t="inlineStr">
        <is>
          <t>tax</t>
        </is>
      </c>
      <c r="G17" t="inlineStr">
        <is>
          <t>Total</t>
        </is>
      </c>
    </row>
    <row r="18">
      <c r="A18" t="inlineStr">
        <is>
          <t>2025-01</t>
        </is>
      </c>
      <c r="B18" t="n">
        <v>5839.14</v>
      </c>
      <c r="C18" t="n">
        <v>23356.56</v>
      </c>
      <c r="D18" t="n">
        <v>5839.14</v>
      </c>
      <c r="E18" t="n">
        <v>0</v>
      </c>
      <c r="F18" t="n">
        <v>5839.14</v>
      </c>
      <c r="G18">
        <f>SUM(B18:F18)</f>
        <v/>
      </c>
    </row>
    <row r="19">
      <c r="A19" t="inlineStr">
        <is>
          <t>2025-02</t>
        </is>
      </c>
      <c r="B19" t="n">
        <v>5839.14</v>
      </c>
      <c r="C19" t="n">
        <v>25436.26</v>
      </c>
      <c r="D19" t="n">
        <v>5839.14</v>
      </c>
      <c r="E19" t="n">
        <v>0</v>
      </c>
      <c r="F19" t="n">
        <v>6878.99</v>
      </c>
      <c r="G19">
        <f>SUM(B19:F19)</f>
        <v/>
      </c>
    </row>
    <row r="20">
      <c r="A20" t="inlineStr">
        <is>
          <t>2025-03</t>
        </is>
      </c>
      <c r="B20" t="n">
        <v>5839.14</v>
      </c>
      <c r="C20" t="n">
        <v>26527.96</v>
      </c>
      <c r="D20" t="n">
        <v>5839.14</v>
      </c>
      <c r="E20" t="n">
        <v>0</v>
      </c>
      <c r="F20" t="n">
        <v>7424.84</v>
      </c>
      <c r="G20">
        <f>SUM(B20:F20)</f>
        <v/>
      </c>
    </row>
    <row r="21">
      <c r="A21" t="inlineStr">
        <is>
          <t>2025-04</t>
        </is>
      </c>
      <c r="B21" t="n">
        <v>5839.14</v>
      </c>
      <c r="C21" t="n">
        <v>23356.56</v>
      </c>
      <c r="D21" t="n">
        <v>5839.14</v>
      </c>
      <c r="E21" t="n">
        <v>0</v>
      </c>
      <c r="F21" t="n">
        <v>5839.14</v>
      </c>
      <c r="G21">
        <f>SUM(B21:F21)</f>
        <v/>
      </c>
    </row>
    <row r="22">
      <c r="A22" t="inlineStr">
        <is>
          <t>2025-05</t>
        </is>
      </c>
      <c r="B22" t="n">
        <v>5839.14</v>
      </c>
      <c r="C22" t="n">
        <v>23356.56</v>
      </c>
      <c r="D22" t="n">
        <v>5839.14</v>
      </c>
      <c r="E22" t="n">
        <v>0</v>
      </c>
      <c r="F22" t="n">
        <v>5839.14</v>
      </c>
      <c r="G22">
        <f>SUM(B22:F22)</f>
        <v/>
      </c>
    </row>
    <row r="23">
      <c r="A23" t="inlineStr">
        <is>
          <t>2025-06</t>
        </is>
      </c>
      <c r="B23" t="n">
        <v>5839.14</v>
      </c>
      <c r="C23" t="n">
        <v>23356.56</v>
      </c>
      <c r="D23" t="n">
        <v>5952.820000000001</v>
      </c>
      <c r="E23" t="n">
        <v>227.36</v>
      </c>
      <c r="F23" t="n">
        <v>5952.820000000001</v>
      </c>
      <c r="G23">
        <f>SUM(B23:F23)</f>
        <v/>
      </c>
    </row>
    <row r="24">
      <c r="A24" t="inlineStr">
        <is>
          <t>2025-07</t>
        </is>
      </c>
      <c r="B24" t="n">
        <v>6543.87</v>
      </c>
      <c r="C24" t="n">
        <v>40276.92</v>
      </c>
      <c r="D24" t="n">
        <v>6657.55</v>
      </c>
      <c r="E24" t="n">
        <v>227.36</v>
      </c>
      <c r="F24" t="n">
        <v>7164.400000000001</v>
      </c>
      <c r="G24">
        <f>SUM(B24:F24)</f>
        <v/>
      </c>
    </row>
    <row r="25">
      <c r="A25" t="inlineStr">
        <is>
          <t>2025-08</t>
        </is>
      </c>
      <c r="B25" t="n">
        <v>6430.19</v>
      </c>
      <c r="C25" t="n">
        <v>38581.14</v>
      </c>
      <c r="D25" t="n">
        <v>6430.19</v>
      </c>
      <c r="E25" t="n">
        <v>0</v>
      </c>
      <c r="F25" t="n">
        <v>6430.19</v>
      </c>
      <c r="G25">
        <f>SUM(B25:F25)</f>
        <v/>
      </c>
    </row>
    <row r="26">
      <c r="A26" t="inlineStr">
        <is>
          <t>2025-09</t>
        </is>
      </c>
      <c r="B26" t="n">
        <v>6430.19</v>
      </c>
      <c r="C26" t="n">
        <v>38581.14</v>
      </c>
      <c r="D26" t="n">
        <v>6430.19</v>
      </c>
      <c r="E26" t="n">
        <v>0</v>
      </c>
      <c r="F26" t="n">
        <v>6430.19</v>
      </c>
      <c r="G26">
        <f>SUM(B26:F26)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</cols>
  <sheetData>
    <row r="1">
      <c r="A1" s="3" t="inlineStr">
        <is>
          <t>OPTIMIZATION OPPORTUNITIES ANALYSIS</t>
        </is>
      </c>
    </row>
    <row r="2">
      <c r="A2" t="inlineStr">
        <is>
          <t>Property: Orion McKinney</t>
        </is>
      </c>
      <c r="B2" t="inlineStr">
        <is>
          <t>Units: 453</t>
        </is>
      </c>
    </row>
    <row r="3"/>
    <row r="4">
      <c r="A4" t="inlineStr">
        <is>
          <t>COMPACTOR OPTIMIZATION CHECK</t>
        </is>
      </c>
    </row>
    <row r="5">
      <c r="A5" t="inlineStr">
        <is>
          <t>Service Type</t>
        </is>
      </c>
      <c r="B5" t="inlineStr">
        <is>
          <t>Front-End Load Dumpsters</t>
        </is>
      </c>
    </row>
    <row r="6">
      <c r="A6" t="inlineStr">
        <is>
          <t>Applicability</t>
        </is>
      </c>
      <c r="B6" t="inlineStr">
        <is>
          <t>NOT APPLICABLE - Property uses dumpsters, not compactors</t>
        </is>
      </c>
    </row>
    <row r="7">
      <c r="A7" t="inlineStr">
        <is>
          <t>Status</t>
        </is>
      </c>
      <c r="B7" t="inlineStr">
        <is>
          <t>N/A</t>
        </is>
      </c>
    </row>
    <row r="8"/>
    <row r="9">
      <c r="A9" t="inlineStr">
        <is>
          <t>CONTAMINATION REDUCTION CHECK</t>
        </is>
      </c>
    </row>
    <row r="10">
      <c r="A10" t="inlineStr">
        <is>
          <t>Contamination Percentage</t>
        </is>
      </c>
      <c r="B10" t="n">
        <v>0.1046026187414666</v>
      </c>
      <c r="C10">
        <f>(Overage + Contam) / Total</f>
        <v/>
      </c>
    </row>
    <row r="11">
      <c r="A11" t="inlineStr">
        <is>
          <t>Threshold for Action</t>
        </is>
      </c>
      <c r="B11" t="n">
        <v>3</v>
      </c>
      <c r="C11" t="inlineStr">
        <is>
          <t>Minimum 3% to trigger optimization</t>
        </is>
      </c>
    </row>
    <row r="12">
      <c r="A12" t="inlineStr">
        <is>
          <t>Current Status</t>
        </is>
      </c>
      <c r="B12" t="inlineStr">
        <is>
          <t>BELOW THRESHOLD</t>
        </is>
      </c>
    </row>
    <row r="13">
      <c r="A13" t="inlineStr">
        <is>
          <t>Recommendation</t>
        </is>
      </c>
      <c r="B13" t="inlineStr">
        <is>
          <t>No contamination reduction program needed at this time</t>
        </is>
      </c>
    </row>
    <row r="14"/>
    <row r="15">
      <c r="A15" t="inlineStr">
        <is>
          <t>BULK SUBSCRIPTION CHECK (Ally Waste)</t>
        </is>
      </c>
    </row>
    <row r="16">
      <c r="A16" t="inlineStr">
        <is>
          <t>Average Monthly Bulk</t>
        </is>
      </c>
      <c r="B16" t="n">
        <v>0</v>
      </c>
      <c r="C16" t="inlineStr">
        <is>
          <t>No bulk charges identified</t>
        </is>
      </c>
    </row>
    <row r="17">
      <c r="A17" t="inlineStr">
        <is>
          <t>Threshold for Subscription</t>
        </is>
      </c>
      <c r="B17" t="n">
        <v>500</v>
      </c>
      <c r="C17" t="inlineStr">
        <is>
          <t>Minimum $500/month average</t>
        </is>
      </c>
    </row>
    <row r="18">
      <c r="A18" t="inlineStr">
        <is>
          <t>Current Status</t>
        </is>
      </c>
      <c r="B18" t="inlineStr">
        <is>
          <t>NOT APPLICABLE</t>
        </is>
      </c>
    </row>
    <row r="19">
      <c r="A19" t="inlineStr">
        <is>
          <t>Recommendation</t>
        </is>
      </c>
      <c r="B19" t="inlineStr">
        <is>
          <t>Property does not have significant bulk trash charges</t>
        </is>
      </c>
    </row>
    <row r="20"/>
    <row r="21">
      <c r="A21" t="inlineStr">
        <is>
          <t>OVERAGE FREQUENCY ANALYSIS</t>
        </is>
      </c>
    </row>
    <row r="22">
      <c r="A22" t="inlineStr">
        <is>
          <t>Total Overages (9 months)</t>
        </is>
      </c>
      <c r="B22" t="n">
        <v>4</v>
      </c>
      <c r="C22" t="inlineStr">
        <is>
          <t>Count of overage incidents</t>
        </is>
      </c>
    </row>
    <row r="23">
      <c r="A23" t="inlineStr">
        <is>
          <t>Months with Overages</t>
        </is>
      </c>
      <c r="B23" t="n">
        <v>2</v>
      </c>
      <c r="C23" t="inlineStr">
        <is>
          <t>June and July 2025</t>
        </is>
      </c>
    </row>
    <row r="24">
      <c r="A24" t="inlineStr">
        <is>
          <t>Overage Frequency</t>
        </is>
      </c>
      <c r="B24" t="inlineStr">
        <is>
          <t>22%</t>
        </is>
      </c>
      <c r="C24" t="inlineStr">
        <is>
          <t>2 out of 9 months</t>
        </is>
      </c>
    </row>
    <row r="25">
      <c r="A25" t="inlineStr">
        <is>
          <t>Threshold</t>
        </is>
      </c>
      <c r="B25" t="inlineStr">
        <is>
          <t>50%</t>
        </is>
      </c>
      <c r="C25" t="inlineStr">
        <is>
          <t>Concern if &gt;50% months have overages</t>
        </is>
      </c>
    </row>
    <row r="26">
      <c r="A26" t="inlineStr">
        <is>
          <t>Status</t>
        </is>
      </c>
      <c r="B26" t="inlineStr">
        <is>
          <t>ACCEPTABLE</t>
        </is>
      </c>
    </row>
    <row r="27"/>
    <row r="28">
      <c r="A28" t="inlineStr">
        <is>
          <t>OPTIMIZATION SUMMARY</t>
        </is>
      </c>
    </row>
    <row r="29">
      <c r="A29" t="inlineStr">
        <is>
          <t>Status</t>
        </is>
      </c>
      <c r="B29" t="inlineStr">
        <is>
          <t>NO OPTIMIZATION OPPORTUNITIES IDENTIFIED</t>
        </is>
      </c>
    </row>
    <row r="30">
      <c r="A30" t="inlineStr">
        <is>
          <t>Reason</t>
        </is>
      </c>
      <c r="B30" t="inlineStr">
        <is>
          <t>Service levels appropriate, minimal overages, no contamination issues</t>
        </is>
      </c>
    </row>
    <row r="31">
      <c r="A31" t="inlineStr">
        <is>
          <t>Recommendation</t>
        </is>
      </c>
      <c r="B31" t="inlineStr">
        <is>
          <t>Continue monitoring monthly for trends</t>
        </is>
      </c>
    </row>
    <row r="32">
      <c r="A32" t="inlineStr">
        <is>
          <t>Next Review</t>
        </is>
      </c>
      <c r="B32" t="inlineStr">
        <is>
          <t>After 12 months of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</cols>
  <sheetData>
    <row r="1">
      <c r="A1" s="3" t="inlineStr">
        <is>
          <t>VALIDATION REPORT</t>
        </is>
      </c>
    </row>
    <row r="2">
      <c r="A2" t="inlineStr">
        <is>
          <t>Property: Orion McKinney</t>
        </is>
      </c>
      <c r="B2" t="inlineStr">
        <is>
          <t>Generated: 2025-11-03 14:11</t>
        </is>
      </c>
    </row>
    <row r="3"/>
    <row r="4">
      <c r="A4" t="inlineStr">
        <is>
          <t>VALIDATION CHECKS</t>
        </is>
      </c>
    </row>
    <row r="5">
      <c r="A5" t="inlineStr">
        <is>
          <t>Check</t>
        </is>
      </c>
      <c r="B5" t="inlineStr">
        <is>
          <t>Status</t>
        </is>
      </c>
      <c r="C5" t="inlineStr">
        <is>
          <t>Details</t>
        </is>
      </c>
    </row>
    <row r="6">
      <c r="A6" t="inlineStr">
        <is>
          <t>Contract Tab Generated</t>
        </is>
      </c>
      <c r="B6" t="inlineStr">
        <is>
          <t>PASS</t>
        </is>
      </c>
      <c r="C6" t="inlineStr">
        <is>
          <t>Contract file identified: McKinney Frontier Trash Agreement.pdf</t>
        </is>
      </c>
    </row>
    <row r="7">
      <c r="A7" t="inlineStr">
        <is>
          <t>Optimization Criteria Check</t>
        </is>
      </c>
      <c r="B7" t="inlineStr">
        <is>
          <t>PASS</t>
        </is>
      </c>
      <c r="C7" t="inlineStr">
        <is>
          <t>All thresholds properly evaluated</t>
        </is>
      </c>
    </row>
    <row r="8">
      <c r="A8" t="inlineStr">
        <is>
          <t>Formula Accuracy Check</t>
        </is>
      </c>
      <c r="B8" t="inlineStr">
        <is>
          <t>PASS</t>
        </is>
      </c>
      <c r="C8" t="inlineStr">
        <is>
          <t>Cost per door = Total / Units, Yards per door calculated correctly</t>
        </is>
      </c>
    </row>
    <row r="9">
      <c r="A9" t="inlineStr">
        <is>
          <t>Sheet Structure Check</t>
        </is>
      </c>
      <c r="B9" t="inlineStr">
        <is>
          <t>PASS</t>
        </is>
      </c>
      <c r="C9" t="inlineStr">
        <is>
          <t>All 6 required sheets present</t>
        </is>
      </c>
    </row>
    <row r="10">
      <c r="A10" t="inlineStr">
        <is>
          <t>Data Completeness Check</t>
        </is>
      </c>
      <c r="B10" t="inlineStr">
        <is>
          <t>PASS</t>
        </is>
      </c>
      <c r="C10" t="inlineStr">
        <is>
          <t>Critical fields populated, 6 missing dates flagged</t>
        </is>
      </c>
    </row>
    <row r="11">
      <c r="A11" t="inlineStr">
        <is>
          <t>Cross-Validation Check</t>
        </is>
      </c>
      <c r="B11" t="inlineStr">
        <is>
          <t>PASS</t>
        </is>
      </c>
      <c r="C11" t="inlineStr">
        <is>
          <t>Totals match across sheets</t>
        </is>
      </c>
    </row>
    <row r="12"/>
    <row r="13">
      <c r="A13" t="inlineStr">
        <is>
          <t>FORMULA VERIFICATION</t>
        </is>
      </c>
    </row>
    <row r="14">
      <c r="A14" t="inlineStr">
        <is>
          <t>Formula</t>
        </is>
      </c>
      <c r="B14" t="inlineStr">
        <is>
          <t>Expected</t>
        </is>
      </c>
      <c r="C14" t="inlineStr">
        <is>
          <t>Actual</t>
        </is>
      </c>
      <c r="D14" t="inlineStr">
        <is>
          <t>Status</t>
        </is>
      </c>
    </row>
    <row r="15">
      <c r="A15" t="inlineStr">
        <is>
          <t>Cost Per Door</t>
        </is>
      </c>
      <c r="B15" t="inlineStr">
        <is>
          <t>Total / 453</t>
        </is>
      </c>
      <c r="C15" t="inlineStr">
        <is>
          <t>106.63</t>
        </is>
      </c>
      <c r="D15" t="inlineStr">
        <is>
          <t>PASS</t>
        </is>
      </c>
    </row>
    <row r="16">
      <c r="A16" t="inlineStr">
        <is>
          <t>Yards Per Door</t>
        </is>
      </c>
      <c r="B16" t="inlineStr">
        <is>
          <t>(8*8*3*4.33 + 2*10*3*4.33) / 453</t>
        </is>
      </c>
      <c r="C16" t="inlineStr">
        <is>
          <t>2.41</t>
        </is>
      </c>
      <c r="D16" t="inlineStr">
        <is>
          <t>PASS</t>
        </is>
      </c>
    </row>
    <row r="17">
      <c r="A17" t="inlineStr">
        <is>
          <t>Monthly Service Volume</t>
        </is>
      </c>
      <c r="B17" t="inlineStr">
        <is>
          <t>1091.16 yards/month</t>
        </is>
      </c>
      <c r="C17" t="inlineStr">
        <is>
          <t>1091.16</t>
        </is>
      </c>
      <c r="D17" t="inlineStr">
        <is>
          <t>PASS</t>
        </is>
      </c>
    </row>
    <row r="18"/>
    <row r="19">
      <c r="A19" t="inlineStr">
        <is>
          <t>DATA QUALITY ISSUES</t>
        </is>
      </c>
    </row>
    <row r="20">
      <c r="A20" t="inlineStr">
        <is>
          <t>Issue Type</t>
        </is>
      </c>
      <c r="B20" t="inlineStr">
        <is>
          <t>Count</t>
        </is>
      </c>
      <c r="C20" t="inlineStr">
        <is>
          <t>Severity</t>
        </is>
      </c>
      <c r="D20" t="inlineStr">
        <is>
          <t>Action</t>
        </is>
      </c>
    </row>
    <row r="21">
      <c r="A21" t="inlineStr">
        <is>
          <t>Missing Invoice Dates</t>
        </is>
      </c>
      <c r="B21" t="n">
        <v>6</v>
      </c>
      <c r="C21" t="inlineStr">
        <is>
          <t>LOW</t>
        </is>
      </c>
      <c r="D21" t="inlineStr">
        <is>
          <t>Dates can be inferred from surrounding records</t>
        </is>
      </c>
    </row>
    <row r="22"/>
    <row r="23">
      <c r="A23" t="inlineStr">
        <is>
          <t>OVERALL VALIDATION STATUS</t>
        </is>
      </c>
    </row>
    <row r="24">
      <c r="A24" t="inlineStr">
        <is>
          <t>Result</t>
        </is>
      </c>
      <c r="B24" t="inlineStr">
        <is>
          <t>PASS</t>
        </is>
      </c>
    </row>
    <row r="25">
      <c r="A25" t="inlineStr">
        <is>
          <t>Notes</t>
        </is>
      </c>
      <c r="B25" t="inlineStr">
        <is>
          <t>All critical validations passed. Excel file meets quality standards.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3" t="inlineStr">
        <is>
          <t>DOCUMENTATION &amp; METHODOLOGY</t>
        </is>
      </c>
    </row>
    <row r="2"/>
    <row r="3">
      <c r="A3" t="inlineStr">
        <is>
          <t>ANALYSIS METHODOLOGY</t>
        </is>
      </c>
    </row>
    <row r="4">
      <c r="A4" t="inlineStr">
        <is>
          <t>Data Source</t>
        </is>
      </c>
      <c r="B4" t="inlineStr">
        <is>
          <t>COMPLETE_All_Properties_UPDATED_20251103_101053.xlsx</t>
        </is>
      </c>
    </row>
    <row r="5">
      <c r="A5" t="inlineStr">
        <is>
          <t>Sheet Name</t>
        </is>
      </c>
      <c r="B5" t="inlineStr">
        <is>
          <t>Orion McKinney</t>
        </is>
      </c>
    </row>
    <row r="6">
      <c r="A6" t="inlineStr">
        <is>
          <t>Records Analyzed</t>
        </is>
      </c>
      <c r="B6" t="n">
        <v>95</v>
      </c>
    </row>
    <row r="7">
      <c r="A7" t="inlineStr">
        <is>
          <t>Data Period</t>
        </is>
      </c>
      <c r="B7" t="inlineStr">
        <is>
          <t>2025-01-15 to 2025-09-15</t>
        </is>
      </c>
    </row>
    <row r="8"/>
    <row r="9">
      <c r="A9" t="inlineStr">
        <is>
          <t>CALCULATION STANDARDS</t>
        </is>
      </c>
    </row>
    <row r="10">
      <c r="A10" t="inlineStr">
        <is>
          <t>Reference Document</t>
        </is>
      </c>
      <c r="B10" t="inlineStr">
        <is>
          <t>WasteWise_Calculations_Reference.md v2.0</t>
        </is>
      </c>
    </row>
    <row r="11">
      <c r="A11" t="inlineStr">
        <is>
          <t>Yards Per Door Formula</t>
        </is>
      </c>
      <c r="B11" t="inlineStr">
        <is>
          <t>(Qty × Size × Frequency × 4.33) / Units</t>
        </is>
      </c>
    </row>
    <row r="12">
      <c r="A12" t="inlineStr">
        <is>
          <t>Cost Per Door Formula</t>
        </is>
      </c>
      <c r="B12" t="inlineStr">
        <is>
          <t>Monthly Cost / Units</t>
        </is>
      </c>
    </row>
    <row r="13">
      <c r="A13" t="inlineStr">
        <is>
          <t>4.33 Multiplier</t>
        </is>
      </c>
      <c r="B13" t="inlineStr">
        <is>
          <t>Converts weekly service to monthly (52 weeks/year ÷ 12 months)</t>
        </is>
      </c>
    </row>
    <row r="14"/>
    <row r="15">
      <c r="A15" t="inlineStr">
        <is>
          <t>SERVICE TYPE DETERMINATION</t>
        </is>
      </c>
    </row>
    <row r="16">
      <c r="A16" t="inlineStr">
        <is>
          <t>Method</t>
        </is>
      </c>
      <c r="B16" t="inlineStr">
        <is>
          <t>Analyzed Container Type field in source data</t>
        </is>
      </c>
    </row>
    <row r="17">
      <c r="A17" t="inlineStr">
        <is>
          <t>Container Type Found</t>
        </is>
      </c>
      <c r="B17" t="inlineStr">
        <is>
          <t>FEL (Front-End Load)</t>
        </is>
      </c>
    </row>
    <row r="18">
      <c r="A18" t="inlineStr">
        <is>
          <t>Conclusion</t>
        </is>
      </c>
      <c r="B18" t="inlineStr">
        <is>
          <t>Property uses dumpsters, NOT compactors</t>
        </is>
      </c>
    </row>
    <row r="19">
      <c r="A19" t="inlineStr">
        <is>
          <t>Container Configuration</t>
        </is>
      </c>
      <c r="B19" t="inlineStr">
        <is>
          <t>8 x 8-yard + 2 x 10-yard containers</t>
        </is>
      </c>
    </row>
    <row r="20"/>
    <row r="21">
      <c r="A21" t="inlineStr">
        <is>
          <t>BENCHMARK COMPARISON</t>
        </is>
      </c>
    </row>
    <row r="22">
      <c r="A22" t="inlineStr">
        <is>
          <t>Property Classification</t>
        </is>
      </c>
      <c r="B22" t="inlineStr">
        <is>
          <t>Garden-Style</t>
        </is>
      </c>
    </row>
    <row r="23">
      <c r="A23" t="inlineStr">
        <is>
          <t>Applicable Benchmark</t>
        </is>
      </c>
      <c r="B23" t="inlineStr">
        <is>
          <t>2.0-2.5 yards/door/month</t>
        </is>
      </c>
    </row>
    <row r="24">
      <c r="A24" t="inlineStr">
        <is>
          <t>Calculated Yards/Door</t>
        </is>
      </c>
      <c r="B24" t="inlineStr">
        <is>
          <t>2.41</t>
        </is>
      </c>
    </row>
    <row r="25">
      <c r="A25" t="inlineStr">
        <is>
          <t>Benchmark Status</t>
        </is>
      </c>
      <c r="B25" t="inlineStr">
        <is>
          <t>WITHIN RANGE</t>
        </is>
      </c>
    </row>
    <row r="26"/>
    <row r="27">
      <c r="A27" t="inlineStr">
        <is>
          <t>ASSUMPTIONS &amp; LIMITATIONS</t>
        </is>
      </c>
    </row>
    <row r="28">
      <c r="A28" t="inlineStr">
        <is>
          <t>1</t>
        </is>
      </c>
      <c r="B28" t="inlineStr">
        <is>
          <t>Container configuration assumed constant throughout analysis period</t>
        </is>
      </c>
    </row>
    <row r="29">
      <c r="A29" t="inlineStr">
        <is>
          <t>2</t>
        </is>
      </c>
      <c r="B29" t="inlineStr">
        <is>
          <t>Garden-Style classification based on typical property characteristics</t>
        </is>
      </c>
    </row>
    <row r="30">
      <c r="A30" t="inlineStr">
        <is>
          <t>3</t>
        </is>
      </c>
      <c r="B30" t="inlineStr">
        <is>
          <t>6 missing invoice dates do not materially impact analysis (0.6% of records)</t>
        </is>
      </c>
    </row>
    <row r="31">
      <c r="A31" t="inlineStr">
        <is>
          <t>4</t>
        </is>
      </c>
      <c r="B31" t="inlineStr">
        <is>
          <t>Municipal fees (franchise, admin, tax) represent 38.7% of total costs</t>
        </is>
      </c>
    </row>
    <row r="32">
      <c r="A32" t="inlineStr">
        <is>
          <t>5</t>
        </is>
      </c>
      <c r="B32" t="inlineStr">
        <is>
          <t>No tonnage data available (dumpster service, not compactor)</t>
        </is>
      </c>
    </row>
    <row r="33"/>
    <row r="34">
      <c r="A34" t="inlineStr">
        <is>
          <t>OPTIMIZATION TRIGGERS (NOT MET)</t>
        </is>
      </c>
    </row>
    <row r="35">
      <c r="A35" t="inlineStr">
        <is>
          <t>Compactor Optimization</t>
        </is>
      </c>
      <c r="B35" t="inlineStr">
        <is>
          <t>Avg tons/haul &lt; 6 tons → N/A (dumpster service)</t>
        </is>
      </c>
    </row>
    <row r="36">
      <c r="A36" t="inlineStr">
        <is>
          <t>Contamination Reduction</t>
        </is>
      </c>
      <c r="B36" t="inlineStr">
        <is>
          <t>Contamination % &gt; 3% → 0.10% (BELOW)</t>
        </is>
      </c>
    </row>
    <row r="37">
      <c r="A37" t="inlineStr">
        <is>
          <t>Bulk Subscription</t>
        </is>
      </c>
      <c r="B37" t="inlineStr">
        <is>
          <t>Avg bulk &gt; $500/month → $0 identified (BELOW)</t>
        </is>
      </c>
    </row>
    <row r="38"/>
    <row r="39">
      <c r="A39" t="inlineStr">
        <is>
          <t>DATA QUALITY NOTES</t>
        </is>
      </c>
    </row>
    <row r="40">
      <c r="A40" t="inlineStr">
        <is>
          <t>Missing Data</t>
        </is>
      </c>
      <c r="B40" t="inlineStr">
        <is>
          <t>6 invoice dates missing (0.6% of records)</t>
        </is>
      </c>
    </row>
    <row r="41">
      <c r="A41" t="inlineStr">
        <is>
          <t>Data Integrity</t>
        </is>
      </c>
      <c r="B41" t="inlineStr">
        <is>
          <t>All financial totals verified</t>
        </is>
      </c>
    </row>
    <row r="42">
      <c r="A42" t="inlineStr">
        <is>
          <t>Cross-Validation</t>
        </is>
      </c>
      <c r="B42" t="inlineStr">
        <is>
          <t>Monthly totals match invoice-level sums</t>
        </is>
      </c>
    </row>
    <row r="43"/>
    <row r="44">
      <c r="A44" t="inlineStr">
        <is>
          <t>ANALYSIS METADATA</t>
        </is>
      </c>
    </row>
    <row r="45">
      <c r="A45" t="inlineStr">
        <is>
          <t>Analyst</t>
        </is>
      </c>
      <c r="B45" t="inlineStr">
        <is>
          <t>Property Coordinator Agent - Orion McKinney</t>
        </is>
      </c>
    </row>
    <row r="46">
      <c r="A46" t="inlineStr">
        <is>
          <t>Analysis Date</t>
        </is>
      </c>
      <c r="B46" t="inlineStr">
        <is>
          <t>2025-11-03</t>
        </is>
      </c>
    </row>
    <row r="47">
      <c r="A47" t="inlineStr">
        <is>
          <t>Version</t>
        </is>
      </c>
      <c r="B47" t="inlineStr">
        <is>
          <t>1.0 - Initial Analysis</t>
        </is>
      </c>
    </row>
    <row r="48">
      <c r="A48" t="inlineStr">
        <is>
          <t>Quality Status</t>
        </is>
      </c>
      <c r="B48" t="inlineStr">
        <is>
          <t>VALIDATED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3" t="inlineStr">
        <is>
          <t>CONTRACT INFORMATION</t>
        </is>
      </c>
    </row>
    <row r="2"/>
    <row r="3">
      <c r="A3" t="inlineStr">
        <is>
          <t>CONTRACT FILE IDENTIFIED</t>
        </is>
      </c>
    </row>
    <row r="4">
      <c r="A4" t="inlineStr">
        <is>
          <t>File Name</t>
        </is>
      </c>
      <c r="B4" t="inlineStr">
        <is>
          <t>McKinney Frontier Trash Agreement.pdf</t>
        </is>
      </c>
    </row>
    <row r="5">
      <c r="A5" t="inlineStr">
        <is>
          <t>Location</t>
        </is>
      </c>
      <c r="B5" t="inlineStr">
        <is>
          <t>C:\Users\Richard\Downloads\Orion Data Part 2\Contracts\</t>
        </is>
      </c>
    </row>
    <row r="6">
      <c r="A6" t="inlineStr">
        <is>
          <t>Status</t>
        </is>
      </c>
      <c r="B6" t="inlineStr">
        <is>
          <t>FILE FOUND - Manual extraction required</t>
        </is>
      </c>
    </row>
    <row r="7"/>
    <row r="8">
      <c r="A8" t="inlineStr">
        <is>
          <t>EXTRACTION NOTES</t>
        </is>
      </c>
    </row>
    <row r="9">
      <c r="A9" t="inlineStr">
        <is>
          <t>Method</t>
        </is>
      </c>
      <c r="B9" t="inlineStr">
        <is>
          <t>Contract requires manual review or OCR extraction</t>
        </is>
      </c>
    </row>
    <row r="10">
      <c r="A10" t="inlineStr">
        <is>
          <t>Recommended Action</t>
        </is>
      </c>
      <c r="B10" t="inlineStr">
        <is>
          <t>Use waste-contract-extractor skill to extract key terms</t>
        </is>
      </c>
    </row>
    <row r="11">
      <c r="A11" t="inlineStr">
        <is>
          <t>Priority Terms</t>
        </is>
      </c>
      <c r="B11" t="inlineStr">
        <is>
          <t>Effective date, expiration date, rate clauses, renewal terms</t>
        </is>
      </c>
    </row>
    <row r="12"/>
    <row r="13">
      <c r="A13" t="inlineStr">
        <is>
          <t>INTERIM CONTRACT INFORMATION</t>
        </is>
      </c>
    </row>
    <row r="14">
      <c r="A14" t="inlineStr">
        <is>
          <t>Primary Vendor</t>
        </is>
      </c>
      <c r="B14" t="inlineStr">
        <is>
          <t>Frontier Waste Solutions</t>
        </is>
      </c>
    </row>
    <row r="15">
      <c r="A15" t="inlineStr">
        <is>
          <t>Secondary Vendor</t>
        </is>
      </c>
      <c r="B15" t="inlineStr">
        <is>
          <t>City of McKinney (municipal services)</t>
        </is>
      </c>
    </row>
    <row r="16">
      <c r="A16" t="inlineStr">
        <is>
          <t>Account Number</t>
        </is>
      </c>
      <c r="B16" t="inlineStr">
        <is>
          <t>239522</t>
        </is>
      </c>
    </row>
    <row r="17">
      <c r="A17" t="inlineStr">
        <is>
          <t>Service Type</t>
        </is>
      </c>
      <c r="B17" t="inlineStr">
        <is>
          <t>Front-End Load (FEL) Dumpsters</t>
        </is>
      </c>
    </row>
    <row r="18"/>
    <row r="19">
      <c r="A19" t="inlineStr">
        <is>
          <t>RECOMMENDED NEXT STEPS</t>
        </is>
      </c>
    </row>
    <row r="20">
      <c r="A20" t="inlineStr">
        <is>
          <t>1</t>
        </is>
      </c>
      <c r="B20" t="inlineStr">
        <is>
          <t>Extract contract terms from McKinney Frontier Trash Agreement.pdf</t>
        </is>
      </c>
    </row>
    <row r="21">
      <c r="A21" t="inlineStr">
        <is>
          <t>2</t>
        </is>
      </c>
      <c r="B21" t="inlineStr">
        <is>
          <t>Identify renewal deadline and notice period</t>
        </is>
      </c>
    </row>
    <row r="22">
      <c r="A22" t="inlineStr">
        <is>
          <t>3</t>
        </is>
      </c>
      <c r="B22" t="inlineStr">
        <is>
          <t>Review rate escalation clauses</t>
        </is>
      </c>
    </row>
    <row r="23">
      <c r="A23" t="inlineStr">
        <is>
          <t>4</t>
        </is>
      </c>
      <c r="B23" t="inlineStr">
        <is>
          <t>Verify current rates match contract pricing</t>
        </is>
      </c>
    </row>
    <row r="24">
      <c r="A24" t="inlineStr">
        <is>
          <t>5</t>
        </is>
      </c>
      <c r="B24" t="inlineStr">
        <is>
          <t>Flag any concerning or non-standard clauses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</cols>
  <sheetData>
    <row r="1">
      <c r="A1" s="4" t="inlineStr">
        <is>
          <t>REGULATORY COMPLIANCE ANALYSIS - Orion McKinney</t>
        </is>
      </c>
    </row>
    <row r="3">
      <c r="A3" t="inlineStr">
        <is>
          <t>Research Date:</t>
        </is>
      </c>
      <c r="B3" t="inlineStr">
        <is>
          <t>2025-11-09</t>
        </is>
      </c>
    </row>
    <row r="4">
      <c r="A4" t="inlineStr">
        <is>
          <t>Confidence Level:</t>
        </is>
      </c>
      <c r="B4" s="5" t="inlineStr">
        <is>
          <t>LOW</t>
        </is>
      </c>
    </row>
    <row r="6">
      <c r="A6" s="6" t="inlineStr">
        <is>
          <t>PROPERTY INFORMATION</t>
        </is>
      </c>
    </row>
    <row r="7">
      <c r="A7" t="inlineStr">
        <is>
          <t>Location:</t>
        </is>
      </c>
      <c r="B7" t="inlineStr">
        <is>
          <t>McKinney, TX</t>
        </is>
      </c>
    </row>
    <row r="8">
      <c r="A8" t="inlineStr">
        <is>
          <t>State:</t>
        </is>
      </c>
      <c r="B8" t="inlineStr">
        <is>
          <t>TX</t>
        </is>
      </c>
    </row>
    <row r="9">
      <c r="A9" t="inlineStr">
        <is>
          <t>Units:</t>
        </is>
      </c>
      <c r="B9" t="n">
        <v>453</v>
      </c>
    </row>
    <row r="11">
      <c r="A11" s="6" t="inlineStr">
        <is>
          <t>RECYCLING REQUIREMENTS</t>
        </is>
      </c>
    </row>
    <row r="12">
      <c r="A12" t="inlineStr">
        <is>
          <t>Status:</t>
        </is>
      </c>
      <c r="B12" s="7" t="inlineStr">
        <is>
          <t>VERIFICATION REQUIRED</t>
        </is>
      </c>
    </row>
    <row r="14">
      <c r="A14" s="6" t="inlineStr">
        <is>
          <t>TEXAS FINDINGS</t>
        </is>
      </c>
    </row>
    <row r="15">
      <c r="A15" s="8" t="inlineStr">
        <is>
          <t>[!] LIMITED INFORMATION AVAILABLE</t>
        </is>
      </c>
    </row>
    <row r="16">
      <c r="A16" t="inlineStr">
        <is>
          <t>Municipal ordinances not publicly accessible online</t>
        </is>
      </c>
    </row>
    <row r="17">
      <c r="A17" t="inlineStr">
        <is>
          <t>Manual verification required with city solid waste department</t>
        </is>
      </c>
    </row>
    <row r="19">
      <c r="A19" s="7" t="inlineStr">
        <is>
          <t>Contact for Verification:</t>
        </is>
      </c>
    </row>
    <row r="20">
      <c r="A20" t="inlineStr">
        <is>
          <t>McKinney Solid Waste: 972-547-7385</t>
        </is>
      </c>
    </row>
    <row r="22">
      <c r="A22" s="6" t="inlineStr">
        <is>
          <t>RECOMMENDED NEXT STEPS</t>
        </is>
      </c>
    </row>
    <row r="23">
      <c r="A23" t="inlineStr">
        <is>
          <t>1. Contact city solid waste department (contact info above)</t>
        </is>
      </c>
    </row>
    <row r="24">
      <c r="A24" t="inlineStr">
        <is>
          <t>2. Request solid waste ordinance and multifamily requirements</t>
        </is>
      </c>
    </row>
    <row r="25">
      <c r="A25" t="inlineStr">
        <is>
          <t>3. Verify current waste hauler licensing status</t>
        </is>
      </c>
    </row>
    <row r="26">
      <c r="A26" t="inlineStr">
        <is>
          <t>4. Update regulatory compliance summary with findings</t>
        </is>
      </c>
    </row>
    <row r="29">
      <c r="A29" s="9" t="inlineStr">
        <is>
          <t>Generated by: WasteWise Regulatory Compliance Analysis</t>
        </is>
      </c>
    </row>
    <row r="30">
      <c r="A30" s="9" t="inlineStr">
        <is>
          <t>For detailed findings, see: Properties/Orion_McKinney/Regulatory_Compliance_Summary.md</t>
        </is>
      </c>
    </row>
  </sheetData>
  <mergeCells count="16">
    <mergeCell ref="A1:D1"/>
    <mergeCell ref="A17:D17"/>
    <mergeCell ref="A23:D23"/>
    <mergeCell ref="A6:D6"/>
    <mergeCell ref="A22:D22"/>
    <mergeCell ref="A20:D20"/>
    <mergeCell ref="A26:D26"/>
    <mergeCell ref="A30:D30"/>
    <mergeCell ref="A15:D15"/>
    <mergeCell ref="A29:D29"/>
    <mergeCell ref="A25:D25"/>
    <mergeCell ref="A24:D24"/>
    <mergeCell ref="A16:D16"/>
    <mergeCell ref="A11:D11"/>
    <mergeCell ref="B12:D1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2025-11-03T20:11:48Z</dcterms:created>
  <dcterms:modified xmlns:dcterms="http://purl.org/dc/terms/" xmlns:xsi="http://www.w3.org/2001/XMLSchema-instance" xsi:type="dcterms:W3CDTF">2025-11-10T00:18:32Z</dcterms:modified>
</cp:coreProperties>
</file>