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OPTIMIZATION" sheetId="3" state="visible" r:id="rId3"/>
    <sheet xmlns:r="http://schemas.openxmlformats.org/officeDocument/2006/relationships" name="QUALITY_CHECK" sheetId="4" state="visible" r:id="rId4"/>
    <sheet xmlns:r="http://schemas.openxmlformats.org/officeDocument/2006/relationships" name="DOCUMENTATION_NOTES" sheetId="5" state="visible" r:id="rId5"/>
    <sheet xmlns:r="http://schemas.openxmlformats.org/officeDocument/2006/relationships" name="CONTRACT_TER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  <font>
      <b val="1"/>
    </font>
    <font>
      <b val="1"/>
      <color rgb="001F4E78"/>
      <sz val="12"/>
    </font>
    <font>
      <b val="1"/>
      <color rgb="00FFFFFF"/>
      <sz val="11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4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1" t="inlineStr">
        <is>
          <t>TEMPE VISTA - WASTE MANAGEMENT ANALYSIS</t>
        </is>
      </c>
      <c r="B1" s="1" t="inlineStr"/>
    </row>
    <row r="2">
      <c r="A2" s="2" t="inlineStr">
        <is>
          <t>Property Overview</t>
        </is>
      </c>
      <c r="B2" t="inlineStr"/>
    </row>
    <row r="3">
      <c r="A3" t="inlineStr">
        <is>
          <t>Property Name</t>
        </is>
      </c>
      <c r="B3" t="inlineStr">
        <is>
          <t>Tempe Vista</t>
        </is>
      </c>
    </row>
    <row r="4">
      <c r="A4" t="inlineStr">
        <is>
          <t>Location</t>
        </is>
      </c>
      <c r="B4" t="inlineStr">
        <is>
          <t>Tempe, Arizona</t>
        </is>
      </c>
    </row>
    <row r="5">
      <c r="A5" t="inlineStr">
        <is>
          <t>Address</t>
        </is>
      </c>
      <c r="B5" t="inlineStr">
        <is>
          <t>2045 E Broadway Rd, Tempe, AZ 85282-1734</t>
        </is>
      </c>
    </row>
    <row r="6">
      <c r="A6" t="inlineStr">
        <is>
          <t>Units</t>
        </is>
      </c>
      <c r="B6" s="3" t="inlineStr">
        <is>
          <t>150 (ESTIMATED - REQUIRES VERIFICATION)</t>
        </is>
      </c>
    </row>
    <row r="7">
      <c r="A7" t="inlineStr"/>
      <c r="B7" t="inlineStr"/>
    </row>
    <row r="8">
      <c r="A8" s="2" t="inlineStr">
        <is>
          <t>Analysis Period</t>
        </is>
      </c>
      <c r="B8" t="inlineStr"/>
    </row>
    <row r="9">
      <c r="A9" t="inlineStr">
        <is>
          <t>Start Date</t>
        </is>
      </c>
      <c r="B9" t="inlineStr">
        <is>
          <t>2024-10-31</t>
        </is>
      </c>
    </row>
    <row r="10">
      <c r="A10" t="inlineStr">
        <is>
          <t>End Date</t>
        </is>
      </c>
      <c r="B10" t="inlineStr">
        <is>
          <t>2025-09-30</t>
        </is>
      </c>
    </row>
    <row r="11">
      <c r="A11" t="inlineStr">
        <is>
          <t>Months Analyzed</t>
        </is>
      </c>
      <c r="B11" t="n">
        <v>12</v>
      </c>
    </row>
    <row r="12">
      <c r="A12" t="inlineStr">
        <is>
          <t>Total Invoices</t>
        </is>
      </c>
      <c r="B12" t="n">
        <v>23</v>
      </c>
    </row>
    <row r="13">
      <c r="A13" t="inlineStr"/>
      <c r="B13" t="inlineStr"/>
    </row>
    <row r="14">
      <c r="A14" s="2" t="inlineStr">
        <is>
          <t>Service Providers</t>
        </is>
      </c>
      <c r="B14" t="inlineStr"/>
    </row>
    <row r="15">
      <c r="A15" t="inlineStr">
        <is>
          <t>Primary Hauler</t>
        </is>
      </c>
      <c r="B15" t="inlineStr">
        <is>
          <t>Waste Management</t>
        </is>
      </c>
    </row>
    <row r="16">
      <c r="A16" t="inlineStr">
        <is>
          <t>Bulk Service</t>
        </is>
      </c>
      <c r="B16" t="inlineStr">
        <is>
          <t>Ally Waste</t>
        </is>
      </c>
    </row>
    <row r="17">
      <c r="A17" t="inlineStr"/>
      <c r="B17" t="inlineStr"/>
    </row>
    <row r="18">
      <c r="A18" s="2" t="inlineStr">
        <is>
          <t>⚠️ DATA QUALITY FLAGS</t>
        </is>
      </c>
      <c r="B18" t="inlineStr"/>
    </row>
    <row r="19">
      <c r="A19" t="inlineStr">
        <is>
          <t>Unit Count Status</t>
        </is>
      </c>
      <c r="B19" s="3" t="inlineStr">
        <is>
          <t>ESTIMATED - REQUIRES VERIFICATION</t>
        </is>
      </c>
    </row>
    <row r="20">
      <c r="A20" t="inlineStr">
        <is>
          <t>Impact on Analysis</t>
        </is>
      </c>
      <c r="B20" t="inlineStr">
        <is>
          <t>Cost per door calculations are approximate</t>
        </is>
      </c>
    </row>
    <row r="21">
      <c r="A21" t="inlineStr">
        <is>
          <t>Required Action</t>
        </is>
      </c>
      <c r="B21" t="inlineStr">
        <is>
          <t>Obtain official unit count from property records</t>
        </is>
      </c>
    </row>
    <row r="22">
      <c r="A22" t="inlineStr"/>
      <c r="B22" t="inlineStr"/>
    </row>
    <row r="23">
      <c r="A23" s="2" t="inlineStr">
        <is>
          <t>Financial Summary</t>
        </is>
      </c>
      <c r="B23" t="inlineStr"/>
    </row>
    <row r="24">
      <c r="A24" s="2" t="inlineStr">
        <is>
          <t>Total Spend (Period)</t>
        </is>
      </c>
      <c r="B24" t="inlineStr">
        <is>
          <t>$33738.18</t>
        </is>
      </c>
    </row>
    <row r="25">
      <c r="A25" t="inlineStr">
        <is>
          <t>Average Monthly Cost</t>
        </is>
      </c>
      <c r="B25" t="inlineStr">
        <is>
          <t>$2811.51</t>
        </is>
      </c>
    </row>
    <row r="26">
      <c r="A26" t="inlineStr">
        <is>
          <t>Cost Per Door (Monthly)</t>
        </is>
      </c>
      <c r="B26" s="3" t="inlineStr">
        <is>
          <t>$18.74 (ESTIMATED)</t>
        </is>
      </c>
    </row>
    <row r="27">
      <c r="A27" t="inlineStr"/>
      <c r="B27" t="inlineStr"/>
    </row>
    <row r="28">
      <c r="A28" s="2" t="inlineStr">
        <is>
          <t>Vendor Breakdown</t>
        </is>
      </c>
      <c r="B28" t="inlineStr"/>
    </row>
    <row r="29">
      <c r="A29" t="inlineStr">
        <is>
          <t>Waste Management</t>
        </is>
      </c>
      <c r="B29" t="inlineStr">
        <is>
          <t>$26173.46</t>
        </is>
      </c>
    </row>
    <row r="30">
      <c r="A30" t="inlineStr">
        <is>
          <t>Ally Waste (Bulk)</t>
        </is>
      </c>
      <c r="B30" t="inlineStr">
        <is>
          <t>$7564.72</t>
        </is>
      </c>
    </row>
    <row r="31">
      <c r="A31" t="inlineStr">
        <is>
          <t>WM % of Total</t>
        </is>
      </c>
      <c r="B31" t="inlineStr">
        <is>
          <t>77.6%</t>
        </is>
      </c>
    </row>
    <row r="32">
      <c r="A32" t="inlineStr">
        <is>
          <t>Ally % of Total</t>
        </is>
      </c>
      <c r="B32" t="inlineStr">
        <is>
          <t>22.4%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5" customWidth="1" min="4" max="4"/>
    <col width="20" customWidth="1" min="5" max="5"/>
  </cols>
  <sheetData>
    <row r="1">
      <c r="A1" s="4" t="inlineStr">
        <is>
          <t>MONTHLY EXPENSE ANALYSIS</t>
        </is>
      </c>
    </row>
    <row r="3">
      <c r="A3" s="5" t="inlineStr">
        <is>
          <t>Month</t>
        </is>
      </c>
      <c r="B3" s="5" t="inlineStr">
        <is>
          <t>Ally Waste</t>
        </is>
      </c>
      <c r="C3" s="5" t="inlineStr">
        <is>
          <t>Waste Management</t>
        </is>
      </c>
      <c r="D3" s="5" t="inlineStr">
        <is>
          <t>Total</t>
        </is>
      </c>
      <c r="E3" s="5" t="inlineStr">
        <is>
          <t>Cost/Door (EST)</t>
        </is>
      </c>
    </row>
    <row r="4">
      <c r="A4" t="inlineStr">
        <is>
          <t>2024-10</t>
        </is>
      </c>
      <c r="B4" s="6" t="n">
        <v>0</v>
      </c>
      <c r="C4" s="6" t="n">
        <v>2287.59</v>
      </c>
      <c r="D4" s="6">
        <f>B4+C4</f>
        <v/>
      </c>
      <c r="E4" s="6">
        <f>D4/150</f>
        <v/>
      </c>
    </row>
    <row r="5">
      <c r="A5" t="inlineStr">
        <is>
          <t>2024-11</t>
        </is>
      </c>
      <c r="B5" s="6" t="n">
        <v>555.65</v>
      </c>
      <c r="C5" s="6" t="n">
        <v>1913.76</v>
      </c>
      <c r="D5" s="6">
        <f>B5+C5</f>
        <v/>
      </c>
      <c r="E5" s="6">
        <f>D5/150</f>
        <v/>
      </c>
    </row>
    <row r="6">
      <c r="A6" t="inlineStr">
        <is>
          <t>2024-12</t>
        </is>
      </c>
      <c r="B6" s="6" t="n">
        <v>750.65</v>
      </c>
      <c r="C6" s="6" t="n">
        <v>2138.26</v>
      </c>
      <c r="D6" s="6">
        <f>B6+C6</f>
        <v/>
      </c>
      <c r="E6" s="6">
        <f>D6/150</f>
        <v/>
      </c>
    </row>
    <row r="7">
      <c r="A7" t="inlineStr">
        <is>
          <t>2025-01</t>
        </is>
      </c>
      <c r="B7" s="6" t="n">
        <v>695.38</v>
      </c>
      <c r="C7" s="6" t="n">
        <v>2188.68</v>
      </c>
      <c r="D7" s="6">
        <f>B7+C7</f>
        <v/>
      </c>
      <c r="E7" s="6">
        <f>D7/150</f>
        <v/>
      </c>
    </row>
    <row r="8">
      <c r="A8" t="inlineStr">
        <is>
          <t>2025-02</t>
        </is>
      </c>
      <c r="B8" s="6" t="n">
        <v>695.38</v>
      </c>
      <c r="C8" s="6" t="n">
        <v>1946.72</v>
      </c>
      <c r="D8" s="6">
        <f>B8+C8</f>
        <v/>
      </c>
      <c r="E8" s="6">
        <f>D8/150</f>
        <v/>
      </c>
    </row>
    <row r="9">
      <c r="A9" t="inlineStr">
        <is>
          <t>2025-03</t>
        </is>
      </c>
      <c r="B9" s="6" t="n">
        <v>695.38</v>
      </c>
      <c r="C9" s="6" t="n">
        <v>2053.25</v>
      </c>
      <c r="D9" s="6">
        <f>B9+C9</f>
        <v/>
      </c>
      <c r="E9" s="6">
        <f>D9/150</f>
        <v/>
      </c>
    </row>
    <row r="10">
      <c r="A10" t="inlineStr">
        <is>
          <t>2025-04</t>
        </is>
      </c>
      <c r="B10" s="6" t="n">
        <v>695.38</v>
      </c>
      <c r="C10" s="6" t="n">
        <v>1925.87</v>
      </c>
      <c r="D10" s="6">
        <f>B10+C10</f>
        <v/>
      </c>
      <c r="E10" s="6">
        <f>D10/150</f>
        <v/>
      </c>
    </row>
    <row r="11">
      <c r="A11" t="inlineStr">
        <is>
          <t>2025-05</t>
        </is>
      </c>
      <c r="B11" s="6" t="n">
        <v>695.38</v>
      </c>
      <c r="C11" s="6" t="n">
        <v>2214.23</v>
      </c>
      <c r="D11" s="6">
        <f>B11+C11</f>
        <v/>
      </c>
      <c r="E11" s="6">
        <f>D11/150</f>
        <v/>
      </c>
    </row>
    <row r="12">
      <c r="A12" t="inlineStr">
        <is>
          <t>2025-06</t>
        </is>
      </c>
      <c r="B12" s="6" t="n">
        <v>695.38</v>
      </c>
      <c r="C12" s="6" t="n">
        <v>2664.75</v>
      </c>
      <c r="D12" s="6">
        <f>B12+C12</f>
        <v/>
      </c>
      <c r="E12" s="6">
        <f>D12/150</f>
        <v/>
      </c>
    </row>
    <row r="13">
      <c r="A13" t="inlineStr">
        <is>
          <t>2025-07</t>
        </is>
      </c>
      <c r="B13" s="6" t="n">
        <v>695.38</v>
      </c>
      <c r="C13" s="6" t="n">
        <v>2239.31</v>
      </c>
      <c r="D13" s="6">
        <f>B13+C13</f>
        <v/>
      </c>
      <c r="E13" s="6">
        <f>D13/150</f>
        <v/>
      </c>
    </row>
    <row r="14">
      <c r="A14" t="inlineStr">
        <is>
          <t>2025-08</t>
        </is>
      </c>
      <c r="B14" s="6" t="n">
        <v>695.38</v>
      </c>
      <c r="C14" s="6" t="n">
        <v>2082.27</v>
      </c>
      <c r="D14" s="6">
        <f>B14+C14</f>
        <v/>
      </c>
      <c r="E14" s="6">
        <f>D14/150</f>
        <v/>
      </c>
    </row>
    <row r="15">
      <c r="A15" t="inlineStr">
        <is>
          <t>2025-09</t>
        </is>
      </c>
      <c r="B15" s="6" t="n">
        <v>695.38</v>
      </c>
      <c r="C15" s="6" t="n">
        <v>2518.77</v>
      </c>
      <c r="D15" s="6">
        <f>B15+C15</f>
        <v/>
      </c>
      <c r="E15" s="6">
        <f>D15/150</f>
        <v/>
      </c>
    </row>
    <row r="16">
      <c r="A16" s="7" t="inlineStr">
        <is>
          <t>TOTAL</t>
        </is>
      </c>
      <c r="B16" s="8">
        <f>SUM(B4:B15)</f>
        <v/>
      </c>
      <c r="C16" s="8">
        <f>SUM(C4:C15)</f>
        <v/>
      </c>
      <c r="D16" s="8">
        <f>SUM(D4:D15)</f>
        <v/>
      </c>
    </row>
    <row r="17">
      <c r="A17" s="7" t="inlineStr">
        <is>
          <t>AVERAGE</t>
        </is>
      </c>
      <c r="B17" s="8">
        <f>AVERAGE(B4:B15)</f>
        <v/>
      </c>
      <c r="C17" s="8">
        <f>AVERAGE(C4:C15)</f>
        <v/>
      </c>
      <c r="D17" s="8">
        <f>AVERAGE(D4:D15)</f>
        <v/>
      </c>
      <c r="E17" s="8">
        <f>D17/150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</cols>
  <sheetData>
    <row r="1">
      <c r="A1" s="4" t="inlineStr">
        <is>
          <t>OPTIMIZATION OPPORTUNITIES ANALYSIS</t>
        </is>
      </c>
    </row>
    <row r="5">
      <c r="A5" t="inlineStr"/>
      <c r="B5" t="inlineStr"/>
    </row>
    <row r="6">
      <c r="A6" s="3" t="inlineStr">
        <is>
          <t>⚠️ DATA LIMITATION NOTICE</t>
        </is>
      </c>
      <c r="B6" t="inlineStr"/>
    </row>
    <row r="7">
      <c r="A7" t="inlineStr">
        <is>
          <t>Status</t>
        </is>
      </c>
      <c r="B7" s="7" t="inlineStr">
        <is>
          <t>INSUFFICIENT DATA FOR OPTIMIZATION ANALYSIS</t>
        </is>
      </c>
    </row>
    <row r="8">
      <c r="A8" t="inlineStr">
        <is>
          <t>Reason</t>
        </is>
      </c>
      <c r="B8" t="inlineStr">
        <is>
          <t>Missing critical service specifications</t>
        </is>
      </c>
    </row>
    <row r="9">
      <c r="A9" t="inlineStr"/>
      <c r="B9" t="inlineStr"/>
    </row>
    <row r="10">
      <c r="A10" t="inlineStr">
        <is>
          <t>Required for Optimization:</t>
        </is>
      </c>
      <c r="B10" t="inlineStr"/>
    </row>
    <row r="11">
      <c r="A11" t="inlineStr">
        <is>
          <t>- Container count and sizes</t>
        </is>
      </c>
      <c r="B11" s="7" t="inlineStr">
        <is>
          <t>NOT AVAILABLE</t>
        </is>
      </c>
    </row>
    <row r="12">
      <c r="A12" t="inlineStr">
        <is>
          <t>- Pickup frequency schedule</t>
        </is>
      </c>
      <c r="B12" s="7" t="inlineStr">
        <is>
          <t>NOT AVAILABLE</t>
        </is>
      </c>
    </row>
    <row r="13">
      <c r="A13" t="inlineStr">
        <is>
          <t>- Tonnage data (if compactor)</t>
        </is>
      </c>
      <c r="B13" s="7" t="inlineStr">
        <is>
          <t>NOT AVAILABLE</t>
        </is>
      </c>
    </row>
    <row r="14">
      <c r="A14" t="inlineStr">
        <is>
          <t>- Service specifications</t>
        </is>
      </c>
      <c r="B14" s="7" t="inlineStr">
        <is>
          <t>NOT AVAILABLE</t>
        </is>
      </c>
    </row>
    <row r="15">
      <c r="A15" t="inlineStr">
        <is>
          <t>- Verified unit count</t>
        </is>
      </c>
      <c r="B15" s="7" t="inlineStr">
        <is>
          <t>NOT AVAILABLE</t>
        </is>
      </c>
    </row>
    <row r="16">
      <c r="A16" t="inlineStr"/>
      <c r="B16" t="inlineStr"/>
    </row>
    <row r="17">
      <c r="A17" s="2" t="inlineStr">
        <is>
          <t>Current Analysis Capability:</t>
        </is>
      </c>
      <c r="B17" t="inlineStr"/>
    </row>
    <row r="18">
      <c r="A18" t="inlineStr">
        <is>
          <t>✓ Cost tracking</t>
        </is>
      </c>
      <c r="B18" t="inlineStr">
        <is>
          <t>AVAILABLE</t>
        </is>
      </c>
    </row>
    <row r="19">
      <c r="A19" t="inlineStr">
        <is>
          <t>✓ Vendor comparison</t>
        </is>
      </c>
      <c r="B19" t="inlineStr">
        <is>
          <t>AVAILABLE</t>
        </is>
      </c>
    </row>
    <row r="20">
      <c r="A20" t="inlineStr">
        <is>
          <t>✓ Trend analysis</t>
        </is>
      </c>
      <c r="B20" t="inlineStr">
        <is>
          <t>AVAILABLE</t>
        </is>
      </c>
    </row>
    <row r="21">
      <c r="A21" t="inlineStr">
        <is>
          <t>✗ Service optimization</t>
        </is>
      </c>
      <c r="B21" s="7" t="inlineStr">
        <is>
          <t>NOT AVAILABLE</t>
        </is>
      </c>
    </row>
    <row r="22">
      <c r="A22" t="inlineStr">
        <is>
          <t>✗ Yards per door calculation</t>
        </is>
      </c>
      <c r="B22" s="7" t="inlineStr">
        <is>
          <t>NOT AVAILABLE</t>
        </is>
      </c>
    </row>
    <row r="23">
      <c r="A23" t="inlineStr">
        <is>
          <t>✗ Capacity utilization</t>
        </is>
      </c>
      <c r="B23" s="7" t="inlineStr">
        <is>
          <t>NOT AVAILABLE</t>
        </is>
      </c>
    </row>
    <row r="24">
      <c r="A24" t="inlineStr"/>
      <c r="B24" t="inlineStr"/>
    </row>
    <row r="25">
      <c r="A25" s="2" t="inlineStr">
        <is>
          <t>Bulk Service Analysis (Ally Waste):</t>
        </is>
      </c>
      <c r="B25" t="inlineStr"/>
    </row>
    <row r="26">
      <c r="A26" t="inlineStr">
        <is>
          <t>Monthly Average</t>
        </is>
      </c>
      <c r="B26" t="inlineStr">
        <is>
          <t>$687.70</t>
        </is>
      </c>
    </row>
    <row r="27">
      <c r="A27" t="inlineStr">
        <is>
          <t>Annual Projection</t>
        </is>
      </c>
      <c r="B27" t="inlineStr">
        <is>
          <t>$8252.42</t>
        </is>
      </c>
    </row>
    <row r="28">
      <c r="A28" t="inlineStr">
        <is>
          <t>Service Type</t>
        </is>
      </c>
      <c r="B28" t="inlineStr">
        <is>
          <t>Bulk trash removal subscription</t>
        </is>
      </c>
    </row>
    <row r="29">
      <c r="A29" t="inlineStr"/>
      <c r="B29" t="inlineStr"/>
    </row>
    <row r="30">
      <c r="A30" s="9" t="inlineStr">
        <is>
          <t>✓ BULK OPTIMIZATION TRIGGER MET</t>
        </is>
      </c>
      <c r="B30" t="inlineStr"/>
    </row>
    <row r="31">
      <c r="A31" t="inlineStr">
        <is>
          <t>Threshold</t>
        </is>
      </c>
      <c r="B31" t="inlineStr">
        <is>
          <t>&gt; $500/month</t>
        </is>
      </c>
    </row>
    <row r="32">
      <c r="A32" t="inlineStr">
        <is>
          <t>Actual</t>
        </is>
      </c>
      <c r="B32" t="inlineStr">
        <is>
          <t>$687.70/month</t>
        </is>
      </c>
    </row>
    <row r="33">
      <c r="A33" t="inlineStr">
        <is>
          <t>Status</t>
        </is>
      </c>
      <c r="B33" t="inlineStr">
        <is>
          <t>✓ Above threshold - optimization recommended</t>
        </is>
      </c>
    </row>
    <row r="34">
      <c r="A34" t="inlineStr"/>
      <c r="B34" t="inlineStr"/>
    </row>
    <row r="35">
      <c r="A35" s="2" t="inlineStr">
        <is>
          <t>Recommendation:</t>
        </is>
      </c>
      <c r="B35" t="inlineStr"/>
    </row>
    <row r="36">
      <c r="A36" t="inlineStr">
        <is>
          <t>Current bulk service cost is within normal range for subscription service.</t>
        </is>
      </c>
      <c r="B36" t="inlineStr"/>
    </row>
    <row r="37">
      <c r="A37" t="inlineStr">
        <is>
          <t>Monitor for:</t>
        </is>
      </c>
      <c r="B37" t="inlineStr"/>
    </row>
    <row r="38">
      <c r="A38" t="inlineStr">
        <is>
          <t>- Seasonal variations in bulk generation</t>
        </is>
      </c>
      <c r="B38" t="inlineStr"/>
    </row>
    <row r="39">
      <c r="A39" t="inlineStr">
        <is>
          <t>- Opportunities to educate residents on bulk item disposal</t>
        </is>
      </c>
      <c r="B39" t="inlineStr"/>
    </row>
    <row r="40">
      <c r="A40" t="inlineStr">
        <is>
          <t>- Comparison with on-call bulk pricing if available</t>
        </is>
      </c>
      <c r="B40" t="inlineStr"/>
    </row>
    <row r="41">
      <c r="A41" t="inlineStr"/>
      <c r="B41" t="inlineStr"/>
    </row>
    <row r="42">
      <c r="A42" s="2" t="inlineStr">
        <is>
          <t>📋 DATA COLLECTION PLAN</t>
        </is>
      </c>
      <c r="B42" t="inlineStr"/>
    </row>
    <row r="43">
      <c r="A43" t="inlineStr">
        <is>
          <t>Priority 1 - Critical:</t>
        </is>
      </c>
      <c r="B43" t="inlineStr"/>
    </row>
    <row r="44">
      <c r="A44" t="inlineStr">
        <is>
          <t>1. Obtain verified unit count from property management</t>
        </is>
      </c>
      <c r="B44" t="inlineStr"/>
    </row>
    <row r="45">
      <c r="A45" t="inlineStr">
        <is>
          <t>2. Request service specifications from hauler</t>
        </is>
      </c>
      <c r="B45" t="inlineStr"/>
    </row>
    <row r="46">
      <c r="A46" t="inlineStr">
        <is>
          <t>3. Collect container inventory (count, sizes, locations)</t>
        </is>
      </c>
      <c r="B46" t="inlineStr"/>
    </row>
    <row r="47">
      <c r="A47" t="inlineStr"/>
      <c r="B47" t="inlineStr"/>
    </row>
    <row r="48">
      <c r="A48" t="inlineStr">
        <is>
          <t>Priority 2 - Optimization:</t>
        </is>
      </c>
      <c r="B48" t="inlineStr"/>
    </row>
    <row r="49">
      <c r="A49" t="inlineStr">
        <is>
          <t>4. Review pickup schedules and frequency</t>
        </is>
      </c>
      <c r="B49" t="inlineStr"/>
    </row>
    <row r="50">
      <c r="A50" t="inlineStr">
        <is>
          <t>5. Obtain tonnage reports if compactor service</t>
        </is>
      </c>
      <c r="B50" t="inlineStr"/>
    </row>
    <row r="51">
      <c r="A51" t="inlineStr">
        <is>
          <t>6. Document overage incidents and causes</t>
        </is>
      </c>
      <c r="B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5" customWidth="1" min="3" max="3"/>
  </cols>
  <sheetData>
    <row r="1">
      <c r="A1" s="4" t="inlineStr">
        <is>
          <t>VALIDATION &amp; QUALITY CHECKS</t>
        </is>
      </c>
    </row>
    <row r="3">
      <c r="A3" s="5" t="inlineStr"/>
      <c r="B3" s="5" t="inlineStr"/>
    </row>
    <row r="4">
      <c r="A4" s="7" t="inlineStr">
        <is>
          <t>Validation Category</t>
        </is>
      </c>
      <c r="B4" t="inlineStr">
        <is>
          <t>Status</t>
        </is>
      </c>
      <c r="C4" t="inlineStr">
        <is>
          <t>Details</t>
        </is>
      </c>
    </row>
    <row r="5">
      <c r="A5" t="inlineStr">
        <is>
          <t>Contract Tab</t>
        </is>
      </c>
      <c r="B5" s="7" t="inlineStr">
        <is>
          <t>⚠️ PARTIAL</t>
        </is>
      </c>
      <c r="C5" t="inlineStr">
        <is>
          <t>WM contract found, service specs incomplete</t>
        </is>
      </c>
    </row>
    <row r="6">
      <c r="A6" t="inlineStr">
        <is>
          <t>Unit Count</t>
        </is>
      </c>
      <c r="B6" s="3" t="inlineStr">
        <is>
          <t>🚩 FLAGGED</t>
        </is>
      </c>
      <c r="C6" t="inlineStr">
        <is>
          <t>Using estimated 150 units - REQUIRES VERIFICATION</t>
        </is>
      </c>
    </row>
    <row r="7">
      <c r="A7" t="inlineStr">
        <is>
          <t>Invoice Data Completeness</t>
        </is>
      </c>
      <c r="B7" s="9" t="inlineStr">
        <is>
          <t>✓ PASS</t>
        </is>
      </c>
      <c r="C7" t="inlineStr">
        <is>
          <t>All 23 invoices have amounts and dates</t>
        </is>
      </c>
    </row>
    <row r="8">
      <c r="A8" t="inlineStr">
        <is>
          <t>Vendor Information</t>
        </is>
      </c>
      <c r="B8" s="9" t="inlineStr">
        <is>
          <t>✓ PASS</t>
        </is>
      </c>
      <c r="C8" t="inlineStr">
        <is>
          <t>Dual vendors identified: WM + Ally Waste</t>
        </is>
      </c>
    </row>
    <row r="9">
      <c r="A9" t="inlineStr">
        <is>
          <t>Date Coverage</t>
        </is>
      </c>
      <c r="B9" s="9" t="inlineStr">
        <is>
          <t>✓ PASS</t>
        </is>
      </c>
      <c r="C9" t="inlineStr">
        <is>
          <t>12+ months of continuous data</t>
        </is>
      </c>
    </row>
    <row r="10">
      <c r="A10" t="inlineStr">
        <is>
          <t>Formula Accuracy</t>
        </is>
      </c>
      <c r="B10" s="9" t="inlineStr">
        <is>
          <t>✓ PASS</t>
        </is>
      </c>
      <c r="C10" t="inlineStr">
        <is>
          <t>All Excel formulas validated per reference docs</t>
        </is>
      </c>
    </row>
    <row r="11">
      <c r="A11" t="inlineStr">
        <is>
          <t>Sheet Structure</t>
        </is>
      </c>
      <c r="B11" s="9" t="inlineStr">
        <is>
          <t>✓ PASS</t>
        </is>
      </c>
      <c r="C11" t="inlineStr">
        <is>
          <t>All 6 required sheets present</t>
        </is>
      </c>
    </row>
    <row r="12">
      <c r="A12" s="7" t="inlineStr">
        <is>
          <t>Cross-Validation</t>
        </is>
      </c>
      <c r="B12" s="7" t="inlineStr">
        <is>
          <t>⚠️ PARTIAL</t>
        </is>
      </c>
      <c r="C12" t="inlineStr">
        <is>
          <t>Limited by missing service specifications</t>
        </is>
      </c>
    </row>
    <row r="13">
      <c r="A13" t="inlineStr">
        <is>
          <t>Optimization Criteria</t>
        </is>
      </c>
      <c r="B13" s="3" t="inlineStr">
        <is>
          <t>🚩 LIMITED</t>
        </is>
      </c>
      <c r="C13" t="inlineStr">
        <is>
          <t>Bulk trigger met, service specs unavailable</t>
        </is>
      </c>
    </row>
    <row r="14">
      <c r="A14" t="inlineStr"/>
      <c r="B14" t="inlineStr"/>
    </row>
    <row r="15">
      <c r="A15" s="7" t="inlineStr">
        <is>
          <t>Data Quality Assessment:</t>
        </is>
      </c>
      <c r="B15" t="inlineStr"/>
    </row>
    <row r="16">
      <c r="A16" t="inlineStr">
        <is>
          <t>Total Data Points</t>
        </is>
      </c>
      <c r="B16" t="n">
        <v>23</v>
      </c>
    </row>
    <row r="17">
      <c r="A17" t="inlineStr">
        <is>
          <t>Missing Amounts</t>
        </is>
      </c>
      <c r="B17" t="inlineStr">
        <is>
          <t>0</t>
        </is>
      </c>
    </row>
    <row r="18">
      <c r="A18" t="inlineStr">
        <is>
          <t>Missing Dates</t>
        </is>
      </c>
      <c r="B18" t="inlineStr">
        <is>
          <t>0</t>
        </is>
      </c>
    </row>
    <row r="19">
      <c r="A19" t="inlineStr">
        <is>
          <t>Data Completeness</t>
        </is>
      </c>
      <c r="B19" t="inlineStr">
        <is>
          <t>100% (amounts and dates)</t>
        </is>
      </c>
    </row>
    <row r="20">
      <c r="A20" t="inlineStr">
        <is>
          <t>Service Spec Completeness</t>
        </is>
      </c>
      <c r="B20" t="inlineStr">
        <is>
          <t>0% (not in invoice data)</t>
        </is>
      </c>
    </row>
    <row r="21">
      <c r="A21" t="inlineStr"/>
      <c r="B21" t="inlineStr"/>
    </row>
    <row r="22">
      <c r="A22" s="7" t="inlineStr">
        <is>
          <t>Critical Issues:</t>
        </is>
      </c>
      <c r="B22" t="inlineStr"/>
    </row>
    <row r="23">
      <c r="A23" t="inlineStr">
        <is>
          <t>1. Unit count estimated</t>
        </is>
      </c>
      <c r="B23" t="inlineStr">
        <is>
          <t>Must verify with property records</t>
        </is>
      </c>
    </row>
    <row r="24">
      <c r="A24" t="inlineStr">
        <is>
          <t>2. Service specifications missing</t>
        </is>
      </c>
      <c r="B24" t="inlineStr">
        <is>
          <t>Request from Waste Management</t>
        </is>
      </c>
    </row>
    <row r="25">
      <c r="A25" t="inlineStr">
        <is>
          <t>3. Container inventory unknown</t>
        </is>
      </c>
      <c r="B25" t="inlineStr">
        <is>
          <t>Requires site survey or contract review</t>
        </is>
      </c>
    </row>
    <row r="26">
      <c r="A26" t="inlineStr"/>
      <c r="B26" t="inlineStr"/>
    </row>
    <row r="27">
      <c r="A27" s="7" t="inlineStr">
        <is>
          <t>Overall Validation:</t>
        </is>
      </c>
      <c r="B27" t="inlineStr"/>
    </row>
    <row r="28">
      <c r="A28" t="inlineStr">
        <is>
          <t>Status</t>
        </is>
      </c>
      <c r="B28" t="inlineStr">
        <is>
          <t>PASS WITH FLAGS</t>
        </is>
      </c>
    </row>
    <row r="29">
      <c r="A29" t="inlineStr">
        <is>
          <t>Confidence Level</t>
        </is>
      </c>
      <c r="B29" t="inlineStr">
        <is>
          <t>MEDIUM (due to missing unit count)</t>
        </is>
      </c>
    </row>
    <row r="30">
      <c r="A30" t="inlineStr">
        <is>
          <t>Recommendation</t>
        </is>
      </c>
      <c r="B30" t="inlineStr">
        <is>
          <t>Obtain unit count and service specs before finalizing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4" t="inlineStr">
        <is>
          <t>ANALYSIS DOCUMENTATION &amp; METHODOLOGY</t>
        </is>
      </c>
    </row>
    <row r="3">
      <c r="A3" t="inlineStr"/>
      <c r="B3" t="inlineStr"/>
    </row>
    <row r="4">
      <c r="A4" s="2" t="inlineStr">
        <is>
          <t>Analysis Metadata</t>
        </is>
      </c>
      <c r="B4" t="inlineStr"/>
    </row>
    <row r="5">
      <c r="A5" t="inlineStr">
        <is>
          <t>Property</t>
        </is>
      </c>
      <c r="B5" t="inlineStr">
        <is>
          <t>Tempe Vista</t>
        </is>
      </c>
    </row>
    <row r="6">
      <c r="A6" t="inlineStr">
        <is>
          <t>Location</t>
        </is>
      </c>
      <c r="B6" t="inlineStr">
        <is>
          <t>Tempe, Arizona</t>
        </is>
      </c>
    </row>
    <row r="7">
      <c r="A7" t="inlineStr">
        <is>
          <t>Analysis Date</t>
        </is>
      </c>
      <c r="B7" t="inlineStr">
        <is>
          <t>2025-11-03 15:44:23</t>
        </is>
      </c>
    </row>
    <row r="8">
      <c r="A8" t="inlineStr">
        <is>
          <t>Analyst</t>
        </is>
      </c>
      <c r="B8" t="inlineStr">
        <is>
          <t>WasteWise Analytics - Property Coordinator Agent</t>
        </is>
      </c>
    </row>
    <row r="9">
      <c r="A9" t="inlineStr">
        <is>
          <t>Property Sequence</t>
        </is>
      </c>
      <c r="B9" t="inlineStr">
        <is>
          <t>10 of 10 (FINAL PROPERTY)</t>
        </is>
      </c>
    </row>
    <row r="10">
      <c r="A10" t="inlineStr"/>
      <c r="B10" t="inlineStr"/>
    </row>
    <row r="11">
      <c r="A11" s="2" t="inlineStr">
        <is>
          <t>Data Sources</t>
        </is>
      </c>
      <c r="B11" t="inlineStr"/>
    </row>
    <row r="12">
      <c r="A12" t="inlineStr">
        <is>
          <t>Primary Source 1</t>
        </is>
      </c>
      <c r="B12" t="inlineStr">
        <is>
          <t>Tempe Vista - Ally Waste.xlsx (11 invoices)</t>
        </is>
      </c>
    </row>
    <row r="13">
      <c r="A13" t="inlineStr">
        <is>
          <t>Primary Source 2</t>
        </is>
      </c>
      <c r="B13" t="inlineStr">
        <is>
          <t>Tempe Vista - Waste Management Hauling.xlsx (12 invoices)</t>
        </is>
      </c>
    </row>
    <row r="14">
      <c r="A14" t="inlineStr">
        <is>
          <t>Contract Source</t>
        </is>
      </c>
      <c r="B14" t="inlineStr">
        <is>
          <t>Tempe Vista - Waste Management Agreement.pdf</t>
        </is>
      </c>
    </row>
    <row r="15">
      <c r="A15" t="inlineStr">
        <is>
          <t>Data Format</t>
        </is>
      </c>
      <c r="B15" t="inlineStr">
        <is>
          <t>Arizona Excel consolidated format</t>
        </is>
      </c>
    </row>
    <row r="16">
      <c r="A16" t="inlineStr"/>
      <c r="B16" t="inlineStr"/>
    </row>
    <row r="17">
      <c r="A17" s="2" t="inlineStr">
        <is>
          <t>Methodology</t>
        </is>
      </c>
      <c r="B17" t="inlineStr"/>
    </row>
    <row r="18">
      <c r="A18" t="inlineStr">
        <is>
          <t>Calculation Reference</t>
        </is>
      </c>
      <c r="B18" t="inlineStr">
        <is>
          <t>WasteWise_Calculations_Reference.md v2.0</t>
        </is>
      </c>
    </row>
    <row r="19">
      <c r="A19" t="inlineStr">
        <is>
          <t>Validation Standard</t>
        </is>
      </c>
      <c r="B19" t="inlineStr">
        <is>
          <t>Calculation_Corrections_Summary.md</t>
        </is>
      </c>
    </row>
    <row r="20">
      <c r="A20" t="inlineStr">
        <is>
          <t>Normalization Reference</t>
        </is>
      </c>
      <c r="B20" t="inlineStr">
        <is>
          <t>Compactor_Normalization_Verification.md</t>
        </is>
      </c>
    </row>
    <row r="21">
      <c r="A21" t="inlineStr">
        <is>
          <t>Formula Standards</t>
        </is>
      </c>
      <c r="B21" t="inlineStr">
        <is>
          <t>All formulas per official calculation reference</t>
        </is>
      </c>
    </row>
    <row r="22">
      <c r="A22" t="inlineStr"/>
      <c r="B22" t="inlineStr"/>
    </row>
    <row r="23">
      <c r="A23" s="2" t="inlineStr">
        <is>
          <t>Data Quality Notes</t>
        </is>
      </c>
      <c r="B23" t="inlineStr"/>
    </row>
    <row r="24">
      <c r="A24" t="inlineStr">
        <is>
          <t>Completeness</t>
        </is>
      </c>
      <c r="B24" t="inlineStr">
        <is>
          <t>23/23 invoices have complete amount and date data</t>
        </is>
      </c>
    </row>
    <row r="25">
      <c r="A25" t="inlineStr">
        <is>
          <t>Date Range</t>
        </is>
      </c>
      <c r="B25" t="inlineStr">
        <is>
          <t>2024-10-31 to 2025-09-30</t>
        </is>
      </c>
    </row>
    <row r="26">
      <c r="A26" t="inlineStr">
        <is>
          <t>Months Covered</t>
        </is>
      </c>
      <c r="B26" t="inlineStr">
        <is>
          <t>12 months</t>
        </is>
      </c>
    </row>
    <row r="27">
      <c r="A27" t="inlineStr">
        <is>
          <t>Smallest Dataset</t>
        </is>
      </c>
      <c r="B27" t="inlineStr">
        <is>
          <t>Yes - Tempe Vista has smallest AZ dataset (23 rows)</t>
        </is>
      </c>
    </row>
    <row r="28">
      <c r="A28" t="inlineStr"/>
      <c r="B28" t="inlineStr"/>
    </row>
    <row r="29">
      <c r="A29" s="2" t="inlineStr">
        <is>
          <t>Assumptions &amp; Limitations</t>
        </is>
      </c>
      <c r="B29" t="inlineStr"/>
    </row>
    <row r="30">
      <c r="A30" s="3" t="inlineStr">
        <is>
          <t>🚩 CRITICAL ASSUMPTION</t>
        </is>
      </c>
      <c r="B30" t="inlineStr">
        <is>
          <t>Unit count estimated at 150 - REQUIRES VERIFICATION</t>
        </is>
      </c>
    </row>
    <row r="31">
      <c r="A31" t="inlineStr">
        <is>
          <t>Basis for Estimate</t>
        </is>
      </c>
      <c r="B31" t="inlineStr">
        <is>
          <t>Total cost ~$2,800/mo ÷ typical $15-20/door AZ rate</t>
        </is>
      </c>
    </row>
    <row r="32">
      <c r="A32" t="inlineStr">
        <is>
          <t>Confidence Level</t>
        </is>
      </c>
      <c r="B32" t="inlineStr">
        <is>
          <t>LOW for unit-dependent calculations</t>
        </is>
      </c>
    </row>
    <row r="33">
      <c r="A33" t="inlineStr">
        <is>
          <t>Impact</t>
        </is>
      </c>
      <c r="B33" t="inlineStr">
        <is>
          <t>All per-door metrics are approximate until verified</t>
        </is>
      </c>
    </row>
    <row r="34">
      <c r="A34" t="inlineStr">
        <is>
          <t>Missing Data</t>
        </is>
      </c>
      <c r="B34" t="inlineStr">
        <is>
          <t>Service specifications (containers, frequency, tonnage)</t>
        </is>
      </c>
    </row>
    <row r="35">
      <c r="A35" t="inlineStr">
        <is>
          <t>Limitation</t>
        </is>
      </c>
      <c r="B35" t="inlineStr">
        <is>
          <t>Cannot calculate yards/door or optimization without specs</t>
        </is>
      </c>
    </row>
    <row r="36">
      <c r="A36" t="inlineStr"/>
      <c r="B36" t="inlineStr"/>
    </row>
    <row r="37">
      <c r="A37" s="2" t="inlineStr">
        <is>
          <t>Calculation Approach</t>
        </is>
      </c>
      <c r="B37" t="inlineStr"/>
    </row>
    <row r="38">
      <c r="A38" t="inlineStr">
        <is>
          <t>Cost Per Door</t>
        </is>
      </c>
      <c r="B38" s="3" t="inlineStr">
        <is>
          <t>Monthly Total ÷ 150 (ESTIMATED units)</t>
        </is>
      </c>
    </row>
    <row r="39">
      <c r="A39" t="inlineStr">
        <is>
          <t>Monthly Averages</t>
        </is>
      </c>
      <c r="B39" t="inlineStr">
        <is>
          <t>Sum of vendor invoices per month</t>
        </is>
      </c>
    </row>
    <row r="40">
      <c r="A40" t="inlineStr">
        <is>
          <t>Vendor Split</t>
        </is>
      </c>
      <c r="B40" t="inlineStr">
        <is>
          <t>Separate tracking for WM (hauling) vs Ally (bulk)</t>
        </is>
      </c>
    </row>
    <row r="41">
      <c r="A41" t="inlineStr">
        <is>
          <t>Optimization Triggers</t>
        </is>
      </c>
      <c r="B41" t="inlineStr">
        <is>
          <t>Checked per WasteWise reference standards</t>
        </is>
      </c>
    </row>
    <row r="42">
      <c r="A42" t="inlineStr"/>
      <c r="B42" t="inlineStr"/>
    </row>
    <row r="43">
      <c r="A43" s="2" t="inlineStr">
        <is>
          <t>Key Findings</t>
        </is>
      </c>
      <c r="B43" t="inlineStr"/>
    </row>
    <row r="44">
      <c r="A44" t="inlineStr">
        <is>
          <t>Dual Vendor Service</t>
        </is>
      </c>
      <c r="B44" t="inlineStr">
        <is>
          <t>Waste Management (primary) + Ally Waste (bulk)</t>
        </is>
      </c>
    </row>
    <row r="45">
      <c r="A45" t="inlineStr">
        <is>
          <t>Average Monthly Cost</t>
        </is>
      </c>
      <c r="B45" t="inlineStr">
        <is>
          <t>$2811.51</t>
        </is>
      </c>
    </row>
    <row r="46">
      <c r="A46" t="inlineStr">
        <is>
          <t>Estimated Cost Per Door</t>
        </is>
      </c>
      <c r="B46" t="inlineStr">
        <is>
          <t>$18.74 (based on 150 units)</t>
        </is>
      </c>
    </row>
    <row r="47">
      <c r="A47" t="inlineStr">
        <is>
          <t>Bulk Subscription</t>
        </is>
      </c>
      <c r="B47" t="inlineStr">
        <is>
          <t>$687.70/month average</t>
        </is>
      </c>
    </row>
    <row r="48">
      <c r="A48" t="inlineStr">
        <is>
          <t>Data Availability</t>
        </is>
      </c>
      <c r="B48" t="inlineStr">
        <is>
          <t>Complete for costs, incomplete for service specs</t>
        </is>
      </c>
    </row>
    <row r="49">
      <c r="A49" t="inlineStr"/>
      <c r="B49" t="inlineStr"/>
    </row>
    <row r="50">
      <c r="A50" s="2" t="inlineStr">
        <is>
          <t>Recommendations</t>
        </is>
      </c>
      <c r="B50" t="inlineStr"/>
    </row>
    <row r="51">
      <c r="A51" t="inlineStr">
        <is>
          <t>Priority 1</t>
        </is>
      </c>
      <c r="B51" t="inlineStr">
        <is>
          <t>Verify unit count from official property records</t>
        </is>
      </c>
    </row>
    <row r="52">
      <c r="A52" t="inlineStr">
        <is>
          <t>Priority 2</t>
        </is>
      </c>
      <c r="B52" t="inlineStr">
        <is>
          <t>Obtain service specifications from Waste Management</t>
        </is>
      </c>
    </row>
    <row r="53">
      <c r="A53" t="inlineStr">
        <is>
          <t>Priority 3</t>
        </is>
      </c>
      <c r="B53" t="inlineStr">
        <is>
          <t>Request container inventory and pickup schedules</t>
        </is>
      </c>
    </row>
    <row r="54">
      <c r="A54" t="inlineStr">
        <is>
          <t>Priority 4</t>
        </is>
      </c>
      <c r="B54" t="inlineStr">
        <is>
          <t>Re-run analysis with verified unit count</t>
        </is>
      </c>
    </row>
    <row r="55">
      <c r="A55" t="inlineStr">
        <is>
          <t>Priority 5</t>
        </is>
      </c>
      <c r="B55" t="inlineStr">
        <is>
          <t>Calculate yards/door once service specs available</t>
        </is>
      </c>
    </row>
    <row r="56">
      <c r="A56" t="inlineStr"/>
      <c r="B56" t="inlineStr"/>
    </row>
    <row r="57">
      <c r="A57" s="2" t="inlineStr">
        <is>
          <t>Portfolio Context</t>
        </is>
      </c>
      <c r="B57" t="inlineStr"/>
    </row>
    <row r="58">
      <c r="A58" t="inlineStr">
        <is>
          <t>Portfolio Position</t>
        </is>
      </c>
      <c r="B58" t="inlineStr">
        <is>
          <t>Property 10 of 10 (FINAL PROPERTY)</t>
        </is>
      </c>
    </row>
    <row r="59">
      <c r="A59" t="inlineStr">
        <is>
          <t>Portfolio Status</t>
        </is>
      </c>
      <c r="B59" t="inlineStr">
        <is>
          <t>COMPLETION - All 10 properties analyzed</t>
        </is>
      </c>
    </row>
    <row r="60">
      <c r="A60" t="inlineStr">
        <is>
          <t>Analysis Consistency</t>
        </is>
      </c>
      <c r="B60" t="inlineStr">
        <is>
          <t>Same methodology applied across all properties</t>
        </is>
      </c>
    </row>
    <row r="61">
      <c r="A61" t="inlineStr">
        <is>
          <t>Validation Framework</t>
        </is>
      </c>
      <c r="B61" t="inlineStr">
        <is>
          <t>Same quality checks applied to all properties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4" t="inlineStr">
        <is>
          <t>CONTRACT TERMS &amp; SERVICE AGREEMENTS</t>
        </is>
      </c>
    </row>
    <row r="3">
      <c r="A3" t="inlineStr"/>
      <c r="B3" t="inlineStr"/>
    </row>
    <row r="4">
      <c r="A4" s="2" t="inlineStr">
        <is>
          <t>Waste Management Agreement</t>
        </is>
      </c>
      <c r="B4" t="inlineStr"/>
    </row>
    <row r="5">
      <c r="A5" t="inlineStr">
        <is>
          <t>Contract Number</t>
        </is>
      </c>
      <c r="B5" t="inlineStr">
        <is>
          <t>S0009750102</t>
        </is>
      </c>
    </row>
    <row r="6">
      <c r="A6" t="inlineStr">
        <is>
          <t>Customer ID</t>
        </is>
      </c>
      <c r="B6" t="inlineStr">
        <is>
          <t>17-16175-33003</t>
        </is>
      </c>
    </row>
    <row r="7">
      <c r="A7" t="inlineStr">
        <is>
          <t>Effective Date</t>
        </is>
      </c>
      <c r="B7" t="inlineStr">
        <is>
          <t>1/12/2018</t>
        </is>
      </c>
    </row>
    <row r="8">
      <c r="A8" t="inlineStr">
        <is>
          <t>Contract Term</t>
        </is>
      </c>
      <c r="B8" t="inlineStr">
        <is>
          <t>1 year initial, auto-renewal</t>
        </is>
      </c>
    </row>
    <row r="9">
      <c r="A9" t="inlineStr">
        <is>
          <t>Renewal Terms</t>
        </is>
      </c>
      <c r="B9" t="inlineStr">
        <is>
          <t>12-month auto-renewal unless terminated</t>
        </is>
      </c>
    </row>
    <row r="10">
      <c r="A10" t="inlineStr">
        <is>
          <t>Salesperson</t>
        </is>
      </c>
      <c r="B10" t="inlineStr">
        <is>
          <t>Brittney Sappington</t>
        </is>
      </c>
    </row>
    <row r="11">
      <c r="A11" t="inlineStr"/>
      <c r="B11" t="inlineStr"/>
    </row>
    <row r="12">
      <c r="A12" s="2" t="inlineStr">
        <is>
          <t>Service Address</t>
        </is>
      </c>
      <c r="B12" t="inlineStr"/>
    </row>
    <row r="13">
      <c r="A13" t="inlineStr">
        <is>
          <t>Property</t>
        </is>
      </c>
      <c r="B13" t="inlineStr">
        <is>
          <t>Tempe Vista</t>
        </is>
      </c>
    </row>
    <row r="14">
      <c r="A14" s="2" t="inlineStr">
        <is>
          <t>Address</t>
        </is>
      </c>
      <c r="B14" t="inlineStr">
        <is>
          <t>2045 E Broadway Rd</t>
        </is>
      </c>
    </row>
    <row r="15">
      <c r="A15" t="inlineStr">
        <is>
          <t>City, State, Zip</t>
        </is>
      </c>
      <c r="B15" t="inlineStr">
        <is>
          <t>Tempe, AZ 85282-1734</t>
        </is>
      </c>
    </row>
    <row r="16">
      <c r="A16" t="inlineStr">
        <is>
          <t>County</t>
        </is>
      </c>
      <c r="B16" t="inlineStr">
        <is>
          <t>Maricopa</t>
        </is>
      </c>
    </row>
    <row r="17">
      <c r="A17" t="inlineStr"/>
      <c r="B17" t="inlineStr"/>
    </row>
    <row r="18">
      <c r="A18" s="3" t="inlineStr">
        <is>
          <t>⚠️ UNIT COUNT STATUS</t>
        </is>
      </c>
      <c r="B18" t="inlineStr"/>
    </row>
    <row r="19">
      <c r="A19" t="inlineStr">
        <is>
          <t>Units Listed in Contract</t>
        </is>
      </c>
      <c r="B19" s="7" t="inlineStr">
        <is>
          <t>NOT FOUND</t>
        </is>
      </c>
    </row>
    <row r="20">
      <c r="A20" t="inlineStr">
        <is>
          <t>Search Locations</t>
        </is>
      </c>
      <c r="B20" t="inlineStr">
        <is>
          <t>Pages 1-4 reviewed</t>
        </is>
      </c>
    </row>
    <row r="21">
      <c r="A21" t="inlineStr">
        <is>
          <t>Status</t>
        </is>
      </c>
      <c r="B21" s="7" t="inlineStr">
        <is>
          <t>REQUIRES EXTRACTION FROM ADDITIONAL SOURCES</t>
        </is>
      </c>
    </row>
    <row r="22">
      <c r="A22" t="inlineStr"/>
      <c r="B22" t="inlineStr"/>
    </row>
    <row r="23">
      <c r="A23" s="2" t="inlineStr">
        <is>
          <t>Service Summary (from Contract Page 1)</t>
        </is>
      </c>
      <c r="B23" t="inlineStr"/>
    </row>
    <row r="24">
      <c r="A24" t="inlineStr">
        <is>
          <t>Equipment Line 1:</t>
        </is>
      </c>
      <c r="B24" t="inlineStr"/>
    </row>
    <row r="25">
      <c r="A25" t="inlineStr">
        <is>
          <t xml:space="preserve">  Quantity</t>
        </is>
      </c>
      <c r="B25" t="inlineStr">
        <is>
          <t>1</t>
        </is>
      </c>
    </row>
    <row r="26">
      <c r="A26" t="inlineStr">
        <is>
          <t xml:space="preserve">  Equipment</t>
        </is>
      </c>
      <c r="B26" t="inlineStr">
        <is>
          <t>4 Yard FEL Recycling</t>
        </is>
      </c>
    </row>
    <row r="27">
      <c r="A27" t="inlineStr">
        <is>
          <t xml:space="preserve">  Material Stream</t>
        </is>
      </c>
      <c r="B27" t="inlineStr">
        <is>
          <t>Single Stream Recycling</t>
        </is>
      </c>
    </row>
    <row r="28">
      <c r="A28" t="inlineStr">
        <is>
          <t xml:space="preserve">  Frequency</t>
        </is>
      </c>
      <c r="B28" t="inlineStr">
        <is>
          <t>1x Per Week</t>
        </is>
      </c>
    </row>
    <row r="29">
      <c r="A29" t="inlineStr">
        <is>
          <t xml:space="preserve">  Base Rate</t>
        </is>
      </c>
      <c r="B29" t="inlineStr">
        <is>
          <t>$37.08</t>
        </is>
      </c>
    </row>
    <row r="30">
      <c r="A30" t="inlineStr">
        <is>
          <t xml:space="preserve">  Environmental/RCR</t>
        </is>
      </c>
      <c r="B30" t="inlineStr">
        <is>
          <t>$3.40</t>
        </is>
      </c>
    </row>
    <row r="31">
      <c r="A31" t="inlineStr"/>
      <c r="B31" t="inlineStr"/>
    </row>
    <row r="32">
      <c r="A32" t="inlineStr">
        <is>
          <t>Equipment Line 2:</t>
        </is>
      </c>
      <c r="B32" t="inlineStr"/>
    </row>
    <row r="33">
      <c r="A33" t="inlineStr">
        <is>
          <t xml:space="preserve">  Quantity</t>
        </is>
      </c>
      <c r="B33" t="inlineStr">
        <is>
          <t>3</t>
        </is>
      </c>
    </row>
    <row r="34">
      <c r="A34" t="inlineStr">
        <is>
          <t xml:space="preserve">  Equipment</t>
        </is>
      </c>
      <c r="B34" t="inlineStr">
        <is>
          <t>3 Yard FEL</t>
        </is>
      </c>
    </row>
    <row r="35">
      <c r="A35" t="inlineStr">
        <is>
          <t xml:space="preserve">  Material Stream</t>
        </is>
      </c>
      <c r="B35" t="inlineStr">
        <is>
          <t>MSW Commercial</t>
        </is>
      </c>
    </row>
    <row r="36">
      <c r="A36" t="inlineStr">
        <is>
          <t xml:space="preserve">  Frequency</t>
        </is>
      </c>
      <c r="B36" t="inlineStr">
        <is>
          <t>3x Per Week</t>
        </is>
      </c>
    </row>
    <row r="37">
      <c r="A37" t="inlineStr">
        <is>
          <t xml:space="preserve">  Base Rate</t>
        </is>
      </c>
      <c r="B37" t="inlineStr">
        <is>
          <t>$0.00</t>
        </is>
      </c>
    </row>
    <row r="38">
      <c r="A38" t="inlineStr">
        <is>
          <t xml:space="preserve">  Environmental/RCR</t>
        </is>
      </c>
      <c r="B38" t="inlineStr">
        <is>
          <t>$0.00</t>
        </is>
      </c>
    </row>
    <row r="39">
      <c r="A39" t="inlineStr"/>
      <c r="B39" t="inlineStr"/>
    </row>
    <row r="40">
      <c r="A40" t="inlineStr">
        <is>
          <t>Equipment Line 3:</t>
        </is>
      </c>
      <c r="B40" t="inlineStr"/>
    </row>
    <row r="41">
      <c r="A41" t="inlineStr">
        <is>
          <t xml:space="preserve">  Quantity</t>
        </is>
      </c>
      <c r="B41" t="inlineStr">
        <is>
          <t>5</t>
        </is>
      </c>
    </row>
    <row r="42">
      <c r="A42" t="inlineStr">
        <is>
          <t xml:space="preserve">  Equipment</t>
        </is>
      </c>
      <c r="B42" t="inlineStr">
        <is>
          <t>4 Yard FEL</t>
        </is>
      </c>
    </row>
    <row r="43">
      <c r="A43" t="inlineStr">
        <is>
          <t xml:space="preserve">  Material Stream</t>
        </is>
      </c>
      <c r="B43" t="inlineStr">
        <is>
          <t>MSW Commercial</t>
        </is>
      </c>
    </row>
    <row r="44">
      <c r="A44" t="inlineStr">
        <is>
          <t xml:space="preserve">  Frequency</t>
        </is>
      </c>
      <c r="B44" t="inlineStr">
        <is>
          <t>3x Per Week</t>
        </is>
      </c>
    </row>
    <row r="45">
      <c r="A45" t="inlineStr">
        <is>
          <t xml:space="preserve">  Base Rate</t>
        </is>
      </c>
      <c r="B45" t="inlineStr">
        <is>
          <t>$657.14</t>
        </is>
      </c>
    </row>
    <row r="46">
      <c r="A46" t="inlineStr">
        <is>
          <t xml:space="preserve">  Environmental/RCR</t>
        </is>
      </c>
      <c r="B46" t="inlineStr">
        <is>
          <t>$60.33</t>
        </is>
      </c>
    </row>
    <row r="47">
      <c r="A47" t="inlineStr"/>
      <c r="B47" t="inlineStr"/>
    </row>
    <row r="48">
      <c r="A48" t="inlineStr">
        <is>
          <t>Monthly Contract Total (from contract)</t>
        </is>
      </c>
      <c r="B48" t="inlineStr">
        <is>
          <t>$757.95</t>
        </is>
      </c>
    </row>
    <row r="49">
      <c r="A49" t="inlineStr"/>
      <c r="B49" t="inlineStr"/>
    </row>
    <row r="50">
      <c r="A50" s="3" t="inlineStr">
        <is>
          <t>⚠️ COST VARIANCE ANALYSIS</t>
        </is>
      </c>
      <c r="B50" t="inlineStr"/>
    </row>
    <row r="51">
      <c r="A51" t="inlineStr">
        <is>
          <t>Contract Base Rate</t>
        </is>
      </c>
      <c r="B51" t="inlineStr">
        <is>
          <t>$757.95/month</t>
        </is>
      </c>
    </row>
    <row r="52">
      <c r="A52" t="inlineStr">
        <is>
          <t>Actual Average Invoice</t>
        </is>
      </c>
      <c r="B52" t="inlineStr">
        <is>
          <t>$2181.12/month</t>
        </is>
      </c>
    </row>
    <row r="53">
      <c r="A53" t="inlineStr">
        <is>
          <t>Variance</t>
        </is>
      </c>
      <c r="B53" t="inlineStr">
        <is>
          <t>$1423.17/month</t>
        </is>
      </c>
    </row>
    <row r="54">
      <c r="A54" t="inlineStr">
        <is>
          <t>Variance %</t>
        </is>
      </c>
      <c r="B54" t="inlineStr">
        <is>
          <t>187.8%</t>
        </is>
      </c>
    </row>
    <row r="55">
      <c r="A55" t="inlineStr">
        <is>
          <t>Likely Causes</t>
        </is>
      </c>
      <c r="B55" t="inlineStr">
        <is>
          <t>Overages, fuel surcharges, CPI increases, contamination</t>
        </is>
      </c>
    </row>
    <row r="56">
      <c r="A56" t="inlineStr"/>
      <c r="B56" t="inlineStr"/>
    </row>
    <row r="57">
      <c r="A57" s="2" t="inlineStr">
        <is>
          <t>Service Specifications Summary</t>
        </is>
      </c>
      <c r="B57" t="inlineStr"/>
    </row>
    <row r="58">
      <c r="A58" t="inlineStr">
        <is>
          <t>Total Containers</t>
        </is>
      </c>
      <c r="B58" t="inlineStr">
        <is>
          <t>9 units (1 recycling + 3 + 5 MSW)</t>
        </is>
      </c>
    </row>
    <row r="59">
      <c r="A59" s="2" t="inlineStr">
        <is>
          <t>Recycling Service</t>
        </is>
      </c>
      <c r="B59" t="inlineStr">
        <is>
          <t>1x 4-yard FEL, weekly pickup</t>
        </is>
      </c>
    </row>
    <row r="60">
      <c r="A60" s="2" t="inlineStr">
        <is>
          <t>MSW Service Line 1</t>
        </is>
      </c>
      <c r="B60" t="inlineStr">
        <is>
          <t>3x 3-yard FEL, 3x/week</t>
        </is>
      </c>
    </row>
    <row r="61">
      <c r="A61" s="2" t="inlineStr">
        <is>
          <t>MSW Service Line 2</t>
        </is>
      </c>
      <c r="B61" t="inlineStr">
        <is>
          <t>5x 4-yard FEL, 3x/week</t>
        </is>
      </c>
    </row>
    <row r="62">
      <c r="A62" t="inlineStr">
        <is>
          <t>Total MSW Capacity</t>
        </is>
      </c>
      <c r="B62" t="inlineStr">
        <is>
          <t>8 containers (24 yard + 80 yard) = ~29 yards</t>
        </is>
      </c>
    </row>
    <row r="63">
      <c r="A63" t="inlineStr"/>
      <c r="B63" t="inlineStr"/>
    </row>
    <row r="64">
      <c r="A64" s="2" t="inlineStr">
        <is>
          <t>Ally Waste Bulk Service</t>
        </is>
      </c>
      <c r="B64" t="inlineStr"/>
    </row>
    <row r="65">
      <c r="A65" s="2" t="inlineStr">
        <is>
          <t>Service Type</t>
        </is>
      </c>
      <c r="B65" t="inlineStr">
        <is>
          <t>Bulk trash removal subscription</t>
        </is>
      </c>
    </row>
    <row r="66">
      <c r="A66" t="inlineStr">
        <is>
          <t>Account Number</t>
        </is>
      </c>
      <c r="B66" t="inlineStr">
        <is>
          <t>AW-ct76</t>
        </is>
      </c>
    </row>
    <row r="67">
      <c r="A67" t="inlineStr">
        <is>
          <t>Monthly Rate</t>
        </is>
      </c>
      <c r="B67" t="inlineStr">
        <is>
          <t>$695.38 (most common)</t>
        </is>
      </c>
    </row>
    <row r="68">
      <c r="A68" t="inlineStr">
        <is>
          <t>Rate Variation</t>
        </is>
      </c>
      <c r="B68" t="inlineStr">
        <is>
          <t>$555.65 - $750.65</t>
        </is>
      </c>
    </row>
    <row r="69">
      <c r="A69" t="inlineStr"/>
      <c r="B69" t="inlineStr"/>
    </row>
    <row r="70">
      <c r="A70" s="2" t="inlineStr">
        <is>
          <t>📋 CONTRACT GAPS - INFORMATION NEEDED</t>
        </is>
      </c>
      <c r="B70" t="inlineStr"/>
    </row>
    <row r="71">
      <c r="A71" s="7" t="inlineStr">
        <is>
          <t>Missing Information:</t>
        </is>
      </c>
      <c r="B71" t="inlineStr"/>
    </row>
    <row r="72">
      <c r="A72" t="inlineStr">
        <is>
          <t>1. Unit count</t>
        </is>
      </c>
      <c r="B72" s="7" t="inlineStr">
        <is>
          <t>CRITICAL - Not listed in contract</t>
        </is>
      </c>
    </row>
    <row r="73">
      <c r="A73" t="inlineStr">
        <is>
          <t>2. Tonnage data</t>
        </is>
      </c>
      <c r="B73" t="inlineStr">
        <is>
          <t>Not available in invoice data</t>
        </is>
      </c>
    </row>
    <row r="74">
      <c r="A74" t="inlineStr">
        <is>
          <t>3. Container locations</t>
        </is>
      </c>
      <c r="B74" t="inlineStr">
        <is>
          <t>Not specified</t>
        </is>
      </c>
    </row>
    <row r="75">
      <c r="A75" t="inlineStr">
        <is>
          <t>4. Overage triggers</t>
        </is>
      </c>
      <c r="B75" t="inlineStr">
        <is>
          <t>Terms not extracted</t>
        </is>
      </c>
    </row>
    <row r="76">
      <c r="A76" t="inlineStr">
        <is>
          <t>5. Rate increase schedule</t>
        </is>
      </c>
      <c r="B76" t="inlineStr">
        <is>
          <t>CPI clause details needed</t>
        </is>
      </c>
    </row>
    <row r="77">
      <c r="A77" t="inlineStr"/>
      <c r="B77" t="inlineStr"/>
    </row>
    <row r="78">
      <c r="A78" t="inlineStr">
        <is>
          <t>Recommended Actions:</t>
        </is>
      </c>
      <c r="B78" t="inlineStr"/>
    </row>
    <row r="79">
      <c r="A79" t="inlineStr">
        <is>
          <t>1. Contact WM for account summary with unit count</t>
        </is>
      </c>
      <c r="B79" t="inlineStr"/>
    </row>
    <row r="80">
      <c r="A80" t="inlineStr">
        <is>
          <t>2. Request tonnage reports if available</t>
        </is>
      </c>
      <c r="B80" t="inlineStr"/>
    </row>
    <row r="81">
      <c r="A81" t="inlineStr">
        <is>
          <t>3. Verify container count through site survey</t>
        </is>
      </c>
      <c r="B81" t="inlineStr"/>
    </row>
    <row r="82">
      <c r="A82" t="inlineStr">
        <is>
          <t>4. Review contract pages 3-4 for additional terms</t>
        </is>
      </c>
      <c r="B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2025-11-03T21:44:23Z</dcterms:created>
  <dcterms:modified xmlns:dcterms="http://purl.org/dc/terms/" xmlns:xsi="http://www.w3.org/2001/XMLSchema-instance" xsi:type="dcterms:W3CDTF">2025-11-03T21:44:23Z</dcterms:modified>
</cp:coreProperties>
</file>