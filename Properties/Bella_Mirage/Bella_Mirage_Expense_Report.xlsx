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Bella Mirage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Bella Mirage</t>
        </is>
      </c>
    </row>
    <row r="6">
      <c r="A6" s="4" t="inlineStr">
        <is>
          <t>Units:</t>
        </is>
      </c>
      <c r="B6" t="n">
        <v>715</v>
      </c>
    </row>
    <row r="7">
      <c r="A7" s="4" t="inlineStr">
        <is>
          <t>State:</t>
        </is>
      </c>
      <c r="B7" t="inlineStr">
        <is>
          <t>AZ</t>
        </is>
      </c>
    </row>
    <row r="8">
      <c r="A8" s="4" t="inlineStr">
        <is>
          <t>Service Type:</t>
        </is>
      </c>
      <c r="B8" t="inlineStr">
        <is>
          <t>Compactor</t>
        </is>
      </c>
    </row>
    <row r="9">
      <c r="A9" s="4" t="inlineStr">
        <is>
          <t>Data Pattern:</t>
        </is>
      </c>
      <c r="B9" t="inlineStr">
        <is>
          <t>A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$67,324.17</t>
        </is>
      </c>
      <c r="C13" t="inlineStr">
        <is>
          <t>$94.16</t>
        </is>
      </c>
      <c r="D13" t="inlineStr">
        <is>
          <t>10 months</t>
        </is>
      </c>
    </row>
    <row r="14">
      <c r="A14" t="inlineStr">
        <is>
          <t>Average Monthly</t>
        </is>
      </c>
      <c r="B14" t="inlineStr">
        <is>
          <t>$6,732.42</t>
        </is>
      </c>
      <c r="C14" t="inlineStr">
        <is>
          <t>$9.42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$6,949.37</t>
        </is>
      </c>
      <c r="C15" t="inlineStr">
        <is>
          <t>$9.72</t>
        </is>
      </c>
      <c r="D15" t="inlineStr">
        <is>
          <t>2025-08</t>
        </is>
      </c>
    </row>
    <row r="16">
      <c r="A16" t="inlineStr">
        <is>
          <t>Lowest Month</t>
        </is>
      </c>
      <c r="B16" t="inlineStr">
        <is>
          <t>$6,482.86</t>
        </is>
      </c>
      <c r="C16" t="inlineStr">
        <is>
          <t>$9.07</t>
        </is>
      </c>
      <c r="D16" t="inlineStr">
        <is>
          <t>2024-12</t>
        </is>
      </c>
    </row>
    <row r="18">
      <c r="A18" s="3" t="inlineStr">
        <is>
          <t>ANOMALIES DETECTED</t>
        </is>
      </c>
    </row>
    <row r="19">
      <c r="A19" s="6" t="inlineStr">
        <is>
          <t>3 months flagged for review</t>
        </is>
      </c>
    </row>
    <row r="20">
      <c r="A20" t="inlineStr">
        <is>
          <t>2024-12</t>
        </is>
      </c>
      <c r="B20" t="inlineStr">
        <is>
          <t>$6,482.86</t>
        </is>
      </c>
      <c r="C20" t="inlineStr">
        <is>
          <t>Overage charges present</t>
        </is>
      </c>
    </row>
    <row r="21">
      <c r="A21" t="inlineStr">
        <is>
          <t>2025-02</t>
        </is>
      </c>
      <c r="B21" t="inlineStr">
        <is>
          <t>$6,914.37</t>
        </is>
      </c>
      <c r="C21" t="inlineStr">
        <is>
          <t>Overage charges present</t>
        </is>
      </c>
    </row>
    <row r="22">
      <c r="A22" t="inlineStr">
        <is>
          <t>2025-06</t>
        </is>
      </c>
      <c r="B22" t="inlineStr">
        <is>
          <t>$6,774.37</t>
        </is>
      </c>
      <c r="C22" t="inlineStr">
        <is>
          <t>Overage charges present</t>
        </is>
      </c>
    </row>
  </sheetData>
  <mergeCells count="8">
    <mergeCell ref="A4:B4"/>
    <mergeCell ref="A1:D1"/>
    <mergeCell ref="C20:D20"/>
    <mergeCell ref="A18:D18"/>
    <mergeCell ref="C21:D21"/>
    <mergeCell ref="C22:D22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2024-11</t>
        </is>
      </c>
      <c r="B2" t="n">
        <v>1003212677</v>
      </c>
      <c r="C2" t="inlineStr">
        <is>
          <t>2024-11-15</t>
        </is>
      </c>
      <c r="D2" t="inlineStr">
        <is>
          <t>Waste Management</t>
        </is>
      </c>
      <c r="E2" s="8" t="n">
        <v>6622.86</v>
      </c>
      <c r="F2" s="8" t="n">
        <v>9.262741258741258</v>
      </c>
      <c r="G2" s="8" t="n">
        <v>6622.86</v>
      </c>
      <c r="H2" s="8" t="n">
        <v>6622.86</v>
      </c>
      <c r="I2" t="inlineStr"/>
    </row>
    <row r="3">
      <c r="A3" s="9" t="inlineStr">
        <is>
          <t>2024-12</t>
        </is>
      </c>
      <c r="B3" s="9" t="n">
        <v>1003250854</v>
      </c>
      <c r="C3" s="9" t="inlineStr">
        <is>
          <t>2024-12-16</t>
        </is>
      </c>
      <c r="D3" s="9" t="inlineStr">
        <is>
          <t>Waste Management National Services, Inc.</t>
        </is>
      </c>
      <c r="E3" s="10" t="n">
        <v>6482.86</v>
      </c>
      <c r="F3" s="10" t="n">
        <v>9.066937062937065</v>
      </c>
      <c r="G3" s="10" t="n">
        <v>13105.72</v>
      </c>
      <c r="H3" s="10" t="n">
        <v>6552.86</v>
      </c>
      <c r="I3" s="9" t="inlineStr">
        <is>
          <t>Overage charges present</t>
        </is>
      </c>
    </row>
    <row r="4">
      <c r="A4" t="inlineStr">
        <is>
          <t>2025-01</t>
        </is>
      </c>
      <c r="B4" t="n">
        <v>1003278289</v>
      </c>
      <c r="C4" t="inlineStr">
        <is>
          <t>2025-01-13</t>
        </is>
      </c>
      <c r="D4" t="inlineStr">
        <is>
          <t>Waste Management</t>
        </is>
      </c>
      <c r="E4" s="8" t="n">
        <v>6622.86</v>
      </c>
      <c r="F4" s="8" t="n">
        <v>9.262741258741258</v>
      </c>
      <c r="G4" s="8" t="n">
        <v>19728.58</v>
      </c>
      <c r="H4" s="8" t="n">
        <v>6576.193333333333</v>
      </c>
      <c r="I4" t="inlineStr"/>
    </row>
    <row r="5">
      <c r="A5" s="9" t="inlineStr">
        <is>
          <t>2025-02</t>
        </is>
      </c>
      <c r="B5" s="9" t="n">
        <v>1003320679</v>
      </c>
      <c r="C5" s="9" t="inlineStr">
        <is>
          <t>2025-02-14</t>
        </is>
      </c>
      <c r="D5" s="9" t="inlineStr">
        <is>
          <t>WM National Services, Inc.</t>
        </is>
      </c>
      <c r="E5" s="10" t="n">
        <v>6914.37</v>
      </c>
      <c r="F5" s="10" t="n">
        <v>9.670447552447552</v>
      </c>
      <c r="G5" s="10" t="n">
        <v>26642.95</v>
      </c>
      <c r="H5" s="10" t="n">
        <v>6660.737499999999</v>
      </c>
      <c r="I5" s="9" t="inlineStr">
        <is>
          <t>Overage charges present</t>
        </is>
      </c>
    </row>
    <row r="6">
      <c r="A6" t="inlineStr">
        <is>
          <t>2025-03</t>
        </is>
      </c>
      <c r="B6" t="n">
        <v>1003357696</v>
      </c>
      <c r="C6" t="inlineStr">
        <is>
          <t>2025-03-13</t>
        </is>
      </c>
      <c r="D6" t="inlineStr">
        <is>
          <t>Waste Management National Services, Inc.</t>
        </is>
      </c>
      <c r="E6" s="8" t="n">
        <v>6739.37</v>
      </c>
      <c r="F6" s="8" t="n">
        <v>9.425692307692309</v>
      </c>
      <c r="G6" s="8" t="n">
        <v>33382.32</v>
      </c>
      <c r="H6" s="8" t="n">
        <v>6676.464</v>
      </c>
      <c r="I6" t="inlineStr"/>
    </row>
    <row r="7">
      <c r="A7" t="inlineStr">
        <is>
          <t>2025-04</t>
        </is>
      </c>
      <c r="B7" t="n">
        <v>1003398871</v>
      </c>
      <c r="C7" t="inlineStr">
        <is>
          <t>2025-04-16</t>
        </is>
      </c>
      <c r="D7" t="inlineStr">
        <is>
          <t>Waste Management National Services, Inc.</t>
        </is>
      </c>
      <c r="E7" s="8" t="n">
        <v>6879.37</v>
      </c>
      <c r="F7" s="8" t="n">
        <v>9.621496503496504</v>
      </c>
      <c r="G7" s="8" t="n">
        <v>40261.69</v>
      </c>
      <c r="H7" s="8" t="n">
        <v>6710.281666666667</v>
      </c>
      <c r="I7" t="inlineStr"/>
    </row>
    <row r="8">
      <c r="A8" t="inlineStr">
        <is>
          <t>2025-05</t>
        </is>
      </c>
      <c r="B8" t="n">
        <v>1003432086</v>
      </c>
      <c r="C8" t="inlineStr">
        <is>
          <t>2025-05-15</t>
        </is>
      </c>
      <c r="D8" t="inlineStr">
        <is>
          <t>Waste Management National Services, Inc.</t>
        </is>
      </c>
      <c r="E8" s="8" t="n">
        <v>6669.37</v>
      </c>
      <c r="F8" s="8" t="n">
        <v>9.32779020979021</v>
      </c>
      <c r="G8" s="8" t="n">
        <v>46931.06</v>
      </c>
      <c r="H8" s="8" t="n">
        <v>6704.437142857144</v>
      </c>
      <c r="I8" t="inlineStr"/>
    </row>
    <row r="9">
      <c r="A9" s="9" t="inlineStr">
        <is>
          <t>2025-06</t>
        </is>
      </c>
      <c r="B9" s="9" t="n">
        <v>1003477060</v>
      </c>
      <c r="C9" s="9" t="inlineStr">
        <is>
          <t>2025-06-17</t>
        </is>
      </c>
      <c r="D9" s="9" t="inlineStr">
        <is>
          <t>Waste Management National Services, Inc.</t>
        </is>
      </c>
      <c r="E9" s="10" t="n">
        <v>6774.37</v>
      </c>
      <c r="F9" s="10" t="n">
        <v>9.474643356643355</v>
      </c>
      <c r="G9" s="10" t="n">
        <v>53705.43000000001</v>
      </c>
      <c r="H9" s="10" t="n">
        <v>6713.178750000001</v>
      </c>
      <c r="I9" s="9" t="inlineStr">
        <is>
          <t>Overage charges present</t>
        </is>
      </c>
    </row>
    <row r="10">
      <c r="A10" t="inlineStr">
        <is>
          <t>2025-07</t>
        </is>
      </c>
      <c r="B10" t="n">
        <v>1003508868</v>
      </c>
      <c r="C10" t="inlineStr">
        <is>
          <t>2025-07-15</t>
        </is>
      </c>
      <c r="D10" t="inlineStr">
        <is>
          <t>Waste Management National Services, Inc.</t>
        </is>
      </c>
      <c r="E10" s="8" t="n">
        <v>6669.37</v>
      </c>
      <c r="F10" s="8" t="n">
        <v>9.32779020979021</v>
      </c>
      <c r="G10" s="8" t="n">
        <v>60374.80000000001</v>
      </c>
      <c r="H10" s="8" t="n">
        <v>6708.311111111112</v>
      </c>
      <c r="I10" t="inlineStr"/>
    </row>
    <row r="11">
      <c r="A11" t="inlineStr">
        <is>
          <t>2025-08</t>
        </is>
      </c>
      <c r="B11" t="n">
        <v>1003547355</v>
      </c>
      <c r="C11" t="inlineStr">
        <is>
          <t>2025-08-14</t>
        </is>
      </c>
      <c r="D11" t="inlineStr">
        <is>
          <t>Waste Management National Services, Inc.</t>
        </is>
      </c>
      <c r="E11" s="8" t="n">
        <v>6949.37</v>
      </c>
      <c r="F11" s="8" t="n">
        <v>9.719398601398602</v>
      </c>
      <c r="G11" s="8" t="n">
        <v>67324.17000000001</v>
      </c>
      <c r="H11" s="8" t="n">
        <v>6732.417000000001</v>
      </c>
      <c r="I11" t="inlineStr"/>
    </row>
    <row r="12">
      <c r="D12" s="4" t="inlineStr">
        <is>
          <t>TOTAL:</t>
        </is>
      </c>
      <c r="E12" s="11">
        <f>SUM(E2:E11)</f>
        <v/>
      </c>
      <c r="F12" s="11">
        <f>AVERAGE(F2:F11)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Bella Mirage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6732.416999999999</v>
      </c>
    </row>
    <row r="6">
      <c r="A6" s="4" t="inlineStr">
        <is>
          <t>Average Cost Per Door:</t>
        </is>
      </c>
      <c r="B6" s="8" t="n">
        <v>9.415967832167832</v>
      </c>
    </row>
    <row r="7">
      <c r="A7" s="4" t="inlineStr">
        <is>
          <t>Data Period:</t>
        </is>
      </c>
      <c r="B7" t="inlineStr">
        <is>
          <t>10 months (2024-11 to 2025-08)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6732.416999999999</v>
      </c>
      <c r="C11" s="8" t="n">
        <v>9.415967832167832</v>
      </c>
      <c r="D11" s="8" t="n">
        <v>20197.251</v>
      </c>
      <c r="E11" s="8" t="n">
        <v>20197.251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6732.416999999999</v>
      </c>
      <c r="C12" s="8" t="n">
        <v>9.415967832167832</v>
      </c>
      <c r="D12" s="8" t="n">
        <v>20197.251</v>
      </c>
      <c r="E12" s="8" t="n">
        <v>40394.50199999999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6732.416999999999</v>
      </c>
      <c r="C13" s="8" t="n">
        <v>9.415967832167832</v>
      </c>
      <c r="D13" s="8" t="n">
        <v>20197.251</v>
      </c>
      <c r="E13" s="8" t="n">
        <v>60591.75299999999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6732.416999999999</v>
      </c>
      <c r="C14" s="8" t="n">
        <v>9.415967832167832</v>
      </c>
      <c r="D14" s="8" t="n">
        <v>20197.251</v>
      </c>
      <c r="E14" s="8" t="n">
        <v>80789.00399999999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80789.00399999999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6059.1753</v>
      </c>
      <c r="C19" s="8" t="n">
        <v>72710.1036</v>
      </c>
      <c r="D19" s="15" t="n">
        <v>-0.1</v>
      </c>
    </row>
    <row r="20">
      <c r="A20" t="inlineStr">
        <is>
          <t>Expected (Baseline)</t>
        </is>
      </c>
      <c r="B20" s="8" t="n">
        <v>6732.416999999999</v>
      </c>
      <c r="C20" s="8" t="n">
        <v>80789.00399999999</v>
      </c>
      <c r="D20" s="16" t="n">
        <v>0</v>
      </c>
    </row>
    <row r="21">
      <c r="A21" t="inlineStr">
        <is>
          <t>Conservative (+10%)</t>
        </is>
      </c>
      <c r="B21" s="8" t="n">
        <v>7405.6587</v>
      </c>
      <c r="C21" s="8" t="n">
        <v>88867.9044</v>
      </c>
      <c r="D21" s="16" t="n">
        <v>0.1</v>
      </c>
    </row>
    <row r="22">
      <c r="A22" t="inlineStr">
        <is>
          <t>Worst Case (+20%)</t>
        </is>
      </c>
      <c r="B22" s="8" t="n">
        <v>8078.900399999999</v>
      </c>
      <c r="C22" s="8" t="n">
        <v>96946.80479999998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Bella Mirage - Service Configuration</t>
        </is>
      </c>
    </row>
    <row r="3">
      <c r="A3" s="4" t="inlineStr">
        <is>
          <t>Property Name</t>
        </is>
      </c>
      <c r="B3" t="inlineStr">
        <is>
          <t>Bella Mirage</t>
        </is>
      </c>
    </row>
    <row r="4">
      <c r="A4" s="4" t="inlineStr">
        <is>
          <t>Units</t>
        </is>
      </c>
      <c r="B4" t="n">
        <v>715</v>
      </c>
    </row>
    <row r="5">
      <c r="A5" s="4" t="inlineStr">
        <is>
          <t>State</t>
        </is>
      </c>
      <c r="B5" t="inlineStr">
        <is>
          <t>AZ</t>
        </is>
      </c>
    </row>
    <row r="6">
      <c r="A6" s="4" t="inlineStr">
        <is>
          <t>City</t>
        </is>
      </c>
      <c r="B6" t="inlineStr">
        <is>
          <t>Avondale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Compactor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A</t>
        </is>
      </c>
    </row>
    <row r="12">
      <c r="A12" s="4" t="inlineStr">
        <is>
          <t>Amount Field</t>
        </is>
      </c>
      <c r="B12" t="inlineStr">
        <is>
          <t>Extended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2024-11</t>
        </is>
      </c>
    </row>
    <row r="16">
      <c r="A16" s="4" t="inlineStr">
        <is>
          <t>Date Range End</t>
        </is>
      </c>
      <c r="B16" t="inlineStr">
        <is>
          <t>2025-08</t>
        </is>
      </c>
    </row>
    <row r="17">
      <c r="A17" s="4" t="inlineStr">
        <is>
          <t>Months Covered</t>
        </is>
      </c>
      <c r="B17" t="n">
        <v>10</v>
      </c>
    </row>
    <row r="18">
      <c r="A18" s="4" t="inlineStr">
        <is>
          <t>Total Records</t>
        </is>
      </c>
      <c r="B18" t="n">
        <v>102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Bella Mirage</t>
        </is>
      </c>
    </row>
    <row r="3">
      <c r="A3" t="inlineStr">
        <is>
          <t>Extraction Date: 2025-11-13T07:35:00.093905</t>
        </is>
      </c>
    </row>
    <row r="4">
      <c r="A4" s="19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67324.17</v>
      </c>
      <c r="C8" s="8" t="n">
        <v>67324.17</v>
      </c>
      <c r="D8" s="19" t="inlineStr">
        <is>
          <t>PASS</t>
        </is>
      </c>
    </row>
    <row r="9">
      <c r="A9" t="inlineStr">
        <is>
          <t>Month Count</t>
        </is>
      </c>
      <c r="B9" t="n">
        <v>10</v>
      </c>
      <c r="C9" t="n">
        <v>10</v>
      </c>
      <c r="D9" s="19" t="inlineStr">
        <is>
          <t>PASS</t>
        </is>
      </c>
    </row>
    <row r="10">
      <c r="A10" t="inlineStr">
        <is>
          <t>Date Range</t>
        </is>
      </c>
      <c r="D10" s="19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2025-11-13T13:37:14Z</dcterms:created>
  <dcterms:modified xmlns:dcterms="http://purl.org/dc/terms/" xmlns:xsi="http://www.w3.org/2001/XMLSchema-instance" xsi:type="dcterms:W3CDTF">2025-11-13T13:37:14Z</dcterms:modified>
</cp:coreProperties>
</file>