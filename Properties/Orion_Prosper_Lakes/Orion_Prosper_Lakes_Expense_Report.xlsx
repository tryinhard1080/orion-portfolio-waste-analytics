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b val="1"/>
      <color rgb="00C0000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Orion Prosper Lakes - Expense Analysis</t>
        </is>
      </c>
    </row>
    <row r="2">
      <c r="A2" s="2" t="inlineStr">
        <is>
          <t>Generated: November 13, 2025 at 07:37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Orion Prosper Lakes</t>
        </is>
      </c>
    </row>
    <row r="6">
      <c r="A6" s="4" t="inlineStr">
        <is>
          <t>Units:</t>
        </is>
      </c>
      <c r="B6" t="n">
        <v>308</v>
      </c>
    </row>
    <row r="7">
      <c r="A7" s="4" t="inlineStr">
        <is>
          <t>State:</t>
        </is>
      </c>
      <c r="B7" t="inlineStr">
        <is>
          <t>TX</t>
        </is>
      </c>
    </row>
    <row r="8">
      <c r="A8" s="4" t="inlineStr">
        <is>
          <t>Service Type:</t>
        </is>
      </c>
      <c r="B8" t="inlineStr">
        <is>
          <t>Compactor</t>
        </is>
      </c>
    </row>
    <row r="9">
      <c r="A9" s="4" t="inlineStr">
        <is>
          <t>Data Pattern:</t>
        </is>
      </c>
      <c r="B9" t="inlineStr">
        <is>
          <t>A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$20,816.17</t>
        </is>
      </c>
      <c r="C13" t="inlineStr">
        <is>
          <t>$67.58</t>
        </is>
      </c>
      <c r="D13" t="inlineStr">
        <is>
          <t>7 months</t>
        </is>
      </c>
    </row>
    <row r="14">
      <c r="A14" t="inlineStr">
        <is>
          <t>Average Monthly</t>
        </is>
      </c>
      <c r="B14" t="inlineStr">
        <is>
          <t>$2,973.74</t>
        </is>
      </c>
      <c r="C14" t="inlineStr">
        <is>
          <t>$9.65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$5,454.94</t>
        </is>
      </c>
      <c r="C15" t="inlineStr">
        <is>
          <t>$17.71</t>
        </is>
      </c>
      <c r="D15" t="inlineStr">
        <is>
          <t>2025-04</t>
        </is>
      </c>
    </row>
    <row r="16">
      <c r="A16" t="inlineStr">
        <is>
          <t>Lowest Month</t>
        </is>
      </c>
      <c r="B16" t="inlineStr">
        <is>
          <t>$-2,443.14</t>
        </is>
      </c>
      <c r="C16" t="inlineStr">
        <is>
          <t>$-7.93</t>
        </is>
      </c>
      <c r="D16" t="inlineStr">
        <is>
          <t>2025-03</t>
        </is>
      </c>
    </row>
    <row r="18">
      <c r="A18" s="3" t="inlineStr">
        <is>
          <t>ANOMALIES DETECTED</t>
        </is>
      </c>
    </row>
    <row r="19">
      <c r="A19" s="6" t="inlineStr">
        <is>
          <t>6 months flagged for review</t>
        </is>
      </c>
    </row>
    <row r="20">
      <c r="A20" t="inlineStr">
        <is>
          <t>2025-02</t>
        </is>
      </c>
      <c r="B20" t="inlineStr">
        <is>
          <t>$5,161.07</t>
        </is>
      </c>
      <c r="C20" t="inlineStr">
        <is>
          <t>Cost increased 31.8% from prior month</t>
        </is>
      </c>
    </row>
    <row r="21">
      <c r="A21" t="inlineStr">
        <is>
          <t>2025-03</t>
        </is>
      </c>
      <c r="B21" t="inlineStr">
        <is>
          <t>$-2,443.14</t>
        </is>
      </c>
      <c r="C21" t="inlineStr">
        <is>
          <t>Cost decreased 147.3% from prior month; Payment or credit applied</t>
        </is>
      </c>
    </row>
    <row r="22">
      <c r="A22" t="inlineStr">
        <is>
          <t>2025-04</t>
        </is>
      </c>
      <c r="B22" t="inlineStr">
        <is>
          <t>$5,454.94</t>
        </is>
      </c>
      <c r="C22" t="inlineStr">
        <is>
          <t>Cost decreased 323.3% from prior month</t>
        </is>
      </c>
    </row>
    <row r="23">
      <c r="A23" t="inlineStr">
        <is>
          <t>2025-05</t>
        </is>
      </c>
      <c r="B23" t="inlineStr">
        <is>
          <t>$4,042.86</t>
        </is>
      </c>
      <c r="C23" t="inlineStr">
        <is>
          <t>Cost decreased 25.9% from prior month</t>
        </is>
      </c>
    </row>
    <row r="24">
      <c r="A24" t="inlineStr">
        <is>
          <t>2025-06</t>
        </is>
      </c>
      <c r="B24" t="inlineStr">
        <is>
          <t>$2,756.86</t>
        </is>
      </c>
      <c r="C24" t="inlineStr">
        <is>
          <t>Cost decreased 31.8% from prior month</t>
        </is>
      </c>
    </row>
    <row r="25">
      <c r="A25" t="inlineStr">
        <is>
          <t>2025-07</t>
        </is>
      </c>
      <c r="B25" t="inlineStr">
        <is>
          <t>$1,927.43</t>
        </is>
      </c>
      <c r="C25" t="inlineStr">
        <is>
          <t>Cost decreased 30.1% from prior month</t>
        </is>
      </c>
    </row>
  </sheetData>
  <mergeCells count="11">
    <mergeCell ref="A4:B4"/>
    <mergeCell ref="A1:D1"/>
    <mergeCell ref="C20:D20"/>
    <mergeCell ref="A18:D18"/>
    <mergeCell ref="C21:D21"/>
    <mergeCell ref="C24:D24"/>
    <mergeCell ref="C25:D25"/>
    <mergeCell ref="C22:D22"/>
    <mergeCell ref="A2:D2"/>
    <mergeCell ref="A11:D11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2025-01</t>
        </is>
      </c>
      <c r="B2" t="inlineStr">
        <is>
          <t>0615-002267720, 0615-002268049</t>
        </is>
      </c>
      <c r="C2" t="inlineStr">
        <is>
          <t>2025-01-31</t>
        </is>
      </c>
      <c r="D2" t="inlineStr">
        <is>
          <t>Republic Services</t>
        </is>
      </c>
      <c r="E2" s="8" t="n">
        <v>3916.15</v>
      </c>
      <c r="F2" s="8" t="n">
        <v>12.71477272727273</v>
      </c>
      <c r="G2" s="8" t="n">
        <v>3916.15</v>
      </c>
      <c r="H2" s="8" t="n">
        <v>3916.15</v>
      </c>
      <c r="I2" t="inlineStr"/>
    </row>
    <row r="3">
      <c r="A3" s="9" t="inlineStr">
        <is>
          <t>2025-02</t>
        </is>
      </c>
      <c r="B3" s="9" t="inlineStr">
        <is>
          <t>0615-002292863, 0615-002293113</t>
        </is>
      </c>
      <c r="C3" s="9" t="inlineStr">
        <is>
          <t>2025-02-28</t>
        </is>
      </c>
      <c r="D3" s="9" t="inlineStr">
        <is>
          <t>Republic Services</t>
        </is>
      </c>
      <c r="E3" s="10" t="n">
        <v>5161.070000000001</v>
      </c>
      <c r="F3" s="10" t="n">
        <v>16.75672077922078</v>
      </c>
      <c r="G3" s="10" t="n">
        <v>9077.219999999999</v>
      </c>
      <c r="H3" s="10" t="n">
        <v>4538.610000000001</v>
      </c>
      <c r="I3" s="9" t="inlineStr">
        <is>
          <t>Cost increased 31.8% from prior month</t>
        </is>
      </c>
    </row>
    <row r="4">
      <c r="A4" s="9" t="inlineStr">
        <is>
          <t>2025-03</t>
        </is>
      </c>
      <c r="B4" s="9" t="inlineStr">
        <is>
          <t>0615-002318893</t>
        </is>
      </c>
      <c r="C4" s="9" t="inlineStr">
        <is>
          <t>2025-03-31</t>
        </is>
      </c>
      <c r="D4" s="9" t="inlineStr">
        <is>
          <t>Republic Services</t>
        </is>
      </c>
      <c r="E4" s="10" t="n">
        <v>-2443.14</v>
      </c>
      <c r="F4" s="10" t="n">
        <v>-7.932272727272727</v>
      </c>
      <c r="G4" s="10" t="n">
        <v>6634.080000000002</v>
      </c>
      <c r="H4" s="10" t="n">
        <v>2211.360000000001</v>
      </c>
      <c r="I4" s="9" t="inlineStr">
        <is>
          <t>Cost decreased 147.3% from prior month; Payment or credit applied</t>
        </is>
      </c>
    </row>
    <row r="5">
      <c r="A5" s="9" t="inlineStr">
        <is>
          <t>2025-04</t>
        </is>
      </c>
      <c r="B5" s="9" t="inlineStr">
        <is>
          <t>0615-002352836, 0615-002353052</t>
        </is>
      </c>
      <c r="C5" s="9" t="inlineStr">
        <is>
          <t>2025-04-30</t>
        </is>
      </c>
      <c r="D5" s="9" t="inlineStr">
        <is>
          <t>Republic Services</t>
        </is>
      </c>
      <c r="E5" s="10" t="n">
        <v>5454.940000000001</v>
      </c>
      <c r="F5" s="10" t="n">
        <v>17.71084415584416</v>
      </c>
      <c r="G5" s="10" t="n">
        <v>12089.02</v>
      </c>
      <c r="H5" s="10" t="n">
        <v>3022.255000000001</v>
      </c>
      <c r="I5" s="9" t="inlineStr">
        <is>
          <t>Cost decreased 323.3% from prior month</t>
        </is>
      </c>
    </row>
    <row r="6">
      <c r="A6" s="9" t="inlineStr">
        <is>
          <t>2025-05</t>
        </is>
      </c>
      <c r="B6" s="9" t="inlineStr">
        <is>
          <t>0615-002377310</t>
        </is>
      </c>
      <c r="C6" s="9" t="inlineStr">
        <is>
          <t>2025-05-31</t>
        </is>
      </c>
      <c r="D6" s="9" t="inlineStr">
        <is>
          <t>Republic Services</t>
        </is>
      </c>
      <c r="E6" s="10" t="n">
        <v>4042.86</v>
      </c>
      <c r="F6" s="10" t="n">
        <v>13.12616883116883</v>
      </c>
      <c r="G6" s="10" t="n">
        <v>16131.88</v>
      </c>
      <c r="H6" s="10" t="n">
        <v>3226.376</v>
      </c>
      <c r="I6" s="9" t="inlineStr">
        <is>
          <t>Cost decreased 25.9% from prior month</t>
        </is>
      </c>
    </row>
    <row r="7">
      <c r="A7" s="9" t="inlineStr">
        <is>
          <t>2025-06</t>
        </is>
      </c>
      <c r="B7" s="9" t="inlineStr">
        <is>
          <t>0615-002403379</t>
        </is>
      </c>
      <c r="C7" s="9" t="inlineStr">
        <is>
          <t>2025-06-30</t>
        </is>
      </c>
      <c r="D7" s="9" t="inlineStr">
        <is>
          <t>Republic Services</t>
        </is>
      </c>
      <c r="E7" s="10" t="n">
        <v>2756.86</v>
      </c>
      <c r="F7" s="10" t="n">
        <v>8.950844155844155</v>
      </c>
      <c r="G7" s="10" t="n">
        <v>18888.74</v>
      </c>
      <c r="H7" s="10" t="n">
        <v>3148.123333333333</v>
      </c>
      <c r="I7" s="9" t="inlineStr">
        <is>
          <t>Cost decreased 31.8% from prior month</t>
        </is>
      </c>
    </row>
    <row r="8">
      <c r="A8" s="9" t="inlineStr">
        <is>
          <t>2025-07</t>
        </is>
      </c>
      <c r="B8" s="9" t="inlineStr">
        <is>
          <t>0615-002438015</t>
        </is>
      </c>
      <c r="C8" s="9" t="inlineStr">
        <is>
          <t>2025-07-31</t>
        </is>
      </c>
      <c r="D8" s="9" t="inlineStr">
        <is>
          <t>Republic Services</t>
        </is>
      </c>
      <c r="E8" s="10" t="n">
        <v>1927.43</v>
      </c>
      <c r="F8" s="10" t="n">
        <v>6.25788961038961</v>
      </c>
      <c r="G8" s="10" t="n">
        <v>20816.17</v>
      </c>
      <c r="H8" s="10" t="n">
        <v>2973.738571428572</v>
      </c>
      <c r="I8" s="9" t="inlineStr">
        <is>
          <t>Cost decreased 30.1% from prior month</t>
        </is>
      </c>
    </row>
    <row r="9">
      <c r="D9" s="4" t="inlineStr">
        <is>
          <t>TOTAL:</t>
        </is>
      </c>
      <c r="E9" s="11">
        <f>SUM(E2:E8)</f>
        <v/>
      </c>
      <c r="F9" s="11">
        <f>AVERAGE(F2:F8)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2" t="inlineStr">
        <is>
          <t>Orion Prosper Lakes - Budget Projection</t>
        </is>
      </c>
    </row>
    <row r="2">
      <c r="A2" s="2" t="inlineStr">
        <is>
          <t>Based on actual expense data for budget planning</t>
        </is>
      </c>
    </row>
    <row r="4">
      <c r="A4" s="13" t="inlineStr">
        <is>
          <t>HISTORICAL AVERAGES</t>
        </is>
      </c>
    </row>
    <row r="5">
      <c r="A5" s="4" t="inlineStr">
        <is>
          <t>Average Monthly Expense:</t>
        </is>
      </c>
      <c r="B5" s="8" t="n">
        <v>2973.738571428572</v>
      </c>
    </row>
    <row r="6">
      <c r="A6" s="4" t="inlineStr">
        <is>
          <t>Average Cost Per Door:</t>
        </is>
      </c>
      <c r="B6" s="8" t="n">
        <v>9.654995361781076</v>
      </c>
    </row>
    <row r="7">
      <c r="A7" s="4" t="inlineStr">
        <is>
          <t>Data Period:</t>
        </is>
      </c>
      <c r="B7" t="inlineStr">
        <is>
          <t>7 months (2025-01 to 2025-07)</t>
        </is>
      </c>
    </row>
    <row r="9">
      <c r="A9" s="13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2973.738571428572</v>
      </c>
      <c r="C11" s="8" t="n">
        <v>9.654995361781076</v>
      </c>
      <c r="D11" s="8" t="n">
        <v>8921.215714285714</v>
      </c>
      <c r="E11" s="8" t="n">
        <v>8921.215714285714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2973.738571428572</v>
      </c>
      <c r="C12" s="8" t="n">
        <v>9.654995361781076</v>
      </c>
      <c r="D12" s="8" t="n">
        <v>8921.215714285714</v>
      </c>
      <c r="E12" s="8" t="n">
        <v>17842.43142857143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2973.738571428572</v>
      </c>
      <c r="C13" s="8" t="n">
        <v>9.654995361781076</v>
      </c>
      <c r="D13" s="8" t="n">
        <v>8921.215714285714</v>
      </c>
      <c r="E13" s="8" t="n">
        <v>26763.64714285714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2973.738571428572</v>
      </c>
      <c r="C14" s="8" t="n">
        <v>9.654995361781076</v>
      </c>
      <c r="D14" s="8" t="n">
        <v>8921.215714285714</v>
      </c>
      <c r="E14" s="8" t="n">
        <v>35684.86285714286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4" t="n">
        <v>35684.86285714286</v>
      </c>
    </row>
    <row r="17">
      <c r="A17" s="13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2676.364714285714</v>
      </c>
      <c r="C19" s="8" t="n">
        <v>32116.37657142857</v>
      </c>
      <c r="D19" s="15" t="n">
        <v>-0.1</v>
      </c>
    </row>
    <row r="20">
      <c r="A20" t="inlineStr">
        <is>
          <t>Expected (Baseline)</t>
        </is>
      </c>
      <c r="B20" s="8" t="n">
        <v>2973.738571428572</v>
      </c>
      <c r="C20" s="8" t="n">
        <v>35684.86285714286</v>
      </c>
      <c r="D20" s="16" t="n">
        <v>0</v>
      </c>
    </row>
    <row r="21">
      <c r="A21" t="inlineStr">
        <is>
          <t>Conservative (+10%)</t>
        </is>
      </c>
      <c r="B21" s="8" t="n">
        <v>3271.112428571429</v>
      </c>
      <c r="C21" s="8" t="n">
        <v>39253.34914285715</v>
      </c>
      <c r="D21" s="16" t="n">
        <v>0.1</v>
      </c>
    </row>
    <row r="22">
      <c r="A22" t="inlineStr">
        <is>
          <t>Worst Case (+20%)</t>
        </is>
      </c>
      <c r="B22" s="8" t="n">
        <v>3568.486285714286</v>
      </c>
      <c r="C22" s="8" t="n">
        <v>42821.83542857143</v>
      </c>
      <c r="D22" s="17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2" t="inlineStr">
        <is>
          <t>Orion Prosper Lakes - Service Configuration</t>
        </is>
      </c>
    </row>
    <row r="3">
      <c r="A3" s="4" t="inlineStr">
        <is>
          <t>Property Name</t>
        </is>
      </c>
      <c r="B3" t="inlineStr">
        <is>
          <t>Orion Prosper Lakes</t>
        </is>
      </c>
    </row>
    <row r="4">
      <c r="A4" s="4" t="inlineStr">
        <is>
          <t>Units</t>
        </is>
      </c>
      <c r="B4" t="n">
        <v>308</v>
      </c>
    </row>
    <row r="5">
      <c r="A5" s="4" t="inlineStr">
        <is>
          <t>State</t>
        </is>
      </c>
      <c r="B5" t="inlineStr">
        <is>
          <t>TX</t>
        </is>
      </c>
    </row>
    <row r="6">
      <c r="A6" s="4" t="inlineStr">
        <is>
          <t>City</t>
        </is>
      </c>
      <c r="B6" t="inlineStr">
        <is>
          <t>Prosper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Compactor</t>
        </is>
      </c>
    </row>
    <row r="10">
      <c r="A10" s="18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A</t>
        </is>
      </c>
    </row>
    <row r="12">
      <c r="A12" s="4" t="inlineStr">
        <is>
          <t>Amount Field</t>
        </is>
      </c>
      <c r="B12" t="inlineStr">
        <is>
          <t>Extended Amount</t>
        </is>
      </c>
    </row>
    <row r="14">
      <c r="A14" s="18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2025-01</t>
        </is>
      </c>
    </row>
    <row r="16">
      <c r="A16" s="4" t="inlineStr">
        <is>
          <t>Date Range End</t>
        </is>
      </c>
      <c r="B16" t="inlineStr">
        <is>
          <t>2025-07</t>
        </is>
      </c>
    </row>
    <row r="17">
      <c r="A17" s="4" t="inlineStr">
        <is>
          <t>Months Covered</t>
        </is>
      </c>
      <c r="B17" t="n">
        <v>7</v>
      </c>
    </row>
    <row r="18">
      <c r="A18" s="4" t="inlineStr">
        <is>
          <t>Total Records</t>
        </is>
      </c>
      <c r="B18" t="n">
        <v>104</v>
      </c>
    </row>
    <row r="20">
      <c r="A20" s="18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2" t="inlineStr">
        <is>
          <t>Data Validation Report</t>
        </is>
      </c>
    </row>
    <row r="2">
      <c r="A2" t="inlineStr">
        <is>
          <t>Property: Orion Prosper Lakes</t>
        </is>
      </c>
    </row>
    <row r="3">
      <c r="A3" t="inlineStr">
        <is>
          <t>Extraction Date: 2025-11-13T07:35:44.750491</t>
        </is>
      </c>
    </row>
    <row r="4">
      <c r="A4" s="19" t="inlineStr">
        <is>
          <t>Overall Status: PASSED</t>
        </is>
      </c>
    </row>
    <row r="6">
      <c r="A6" s="13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20816.17</v>
      </c>
      <c r="C8" s="8" t="n">
        <v>20816.17</v>
      </c>
      <c r="D8" s="19" t="inlineStr">
        <is>
          <t>PASS</t>
        </is>
      </c>
    </row>
    <row r="9">
      <c r="A9" t="inlineStr">
        <is>
          <t>Month Count</t>
        </is>
      </c>
      <c r="B9" t="n">
        <v>7</v>
      </c>
      <c r="C9" t="n">
        <v>7</v>
      </c>
      <c r="D9" s="19" t="inlineStr">
        <is>
          <t>PASS</t>
        </is>
      </c>
    </row>
    <row r="10">
      <c r="A10" t="inlineStr">
        <is>
          <t>Date Range</t>
        </is>
      </c>
      <c r="D10" s="19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2025-11-13T13:37:41Z</dcterms:created>
  <dcterms:modified xmlns:dcterms="http://purl.org/dc/terms/" xmlns:xsi="http://www.w3.org/2001/XMLSchema-instance" xsi:type="dcterms:W3CDTF">2025-11-13T13:37:41Z</dcterms:modified>
</cp:coreProperties>
</file>