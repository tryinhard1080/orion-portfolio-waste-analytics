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color rgb="0000B05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McCord Park FL - Expense Analysis</t>
        </is>
      </c>
    </row>
    <row r="2">
      <c r="A2" s="2" t="inlineStr">
        <is>
          <t>Generated: November 13, 2025 at 07:37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McCord Park FL</t>
        </is>
      </c>
    </row>
    <row r="6">
      <c r="A6" s="4" t="inlineStr">
        <is>
          <t>Units:</t>
        </is>
      </c>
      <c r="B6" t="n">
        <v>416</v>
      </c>
    </row>
    <row r="7">
      <c r="A7" s="4" t="inlineStr">
        <is>
          <t>State:</t>
        </is>
      </c>
      <c r="B7" t="inlineStr">
        <is>
          <t>TX</t>
        </is>
      </c>
    </row>
    <row r="8">
      <c r="A8" s="4" t="inlineStr">
        <is>
          <t>Service Type:</t>
        </is>
      </c>
      <c r="B8" t="inlineStr">
        <is>
          <t>Dumpster</t>
        </is>
      </c>
    </row>
    <row r="9">
      <c r="A9" s="4" t="inlineStr">
        <is>
          <t>Data Pattern:</t>
        </is>
      </c>
      <c r="B9" t="inlineStr">
        <is>
          <t>A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$99,158.68</t>
        </is>
      </c>
      <c r="C13" t="inlineStr">
        <is>
          <t>$238.36</t>
        </is>
      </c>
      <c r="D13" t="inlineStr">
        <is>
          <t>9 months</t>
        </is>
      </c>
    </row>
    <row r="14">
      <c r="A14" t="inlineStr">
        <is>
          <t>Average Monthly</t>
        </is>
      </c>
      <c r="B14" t="inlineStr">
        <is>
          <t>$11,017.63</t>
        </is>
      </c>
      <c r="C14" t="inlineStr">
        <is>
          <t>$26.48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$11,279.60</t>
        </is>
      </c>
      <c r="C15" t="inlineStr">
        <is>
          <t>$27.11</t>
        </is>
      </c>
      <c r="D15" t="inlineStr">
        <is>
          <t>2025-07</t>
        </is>
      </c>
    </row>
    <row r="16">
      <c r="A16" t="inlineStr">
        <is>
          <t>Lowest Month</t>
        </is>
      </c>
      <c r="B16" t="inlineStr">
        <is>
          <t>$9,734.09</t>
        </is>
      </c>
      <c r="C16" t="inlineStr">
        <is>
          <t>$23.40</t>
        </is>
      </c>
      <c r="D16" t="inlineStr">
        <is>
          <t>2025-01</t>
        </is>
      </c>
    </row>
    <row r="18">
      <c r="A18" s="3" t="inlineStr">
        <is>
          <t>ANOMALIES DETECTED</t>
        </is>
      </c>
    </row>
    <row r="19">
      <c r="A19" s="6" t="inlineStr">
        <is>
          <t>No anomalies detected</t>
        </is>
      </c>
    </row>
  </sheetData>
  <mergeCells count="5">
    <mergeCell ref="A4:B4"/>
    <mergeCell ref="A1:D1"/>
    <mergeCell ref="A18:D18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2025-01</t>
        </is>
      </c>
      <c r="B2" t="n">
        <v>1636694</v>
      </c>
      <c r="C2" t="inlineStr">
        <is>
          <t>2025-01-01</t>
        </is>
      </c>
      <c r="D2" t="inlineStr">
        <is>
          <t>Community Waste Disposal, LP</t>
        </is>
      </c>
      <c r="E2" s="8" t="n">
        <v>9734.09</v>
      </c>
      <c r="F2" s="8" t="n">
        <v>23.39925480769231</v>
      </c>
      <c r="G2" s="8" t="n">
        <v>9734.09</v>
      </c>
      <c r="H2" s="8" t="n">
        <v>9734.09</v>
      </c>
      <c r="I2" t="inlineStr"/>
    </row>
    <row r="3">
      <c r="A3" t="inlineStr">
        <is>
          <t>2025-02</t>
        </is>
      </c>
      <c r="B3" t="n">
        <v>1650094</v>
      </c>
      <c r="C3" t="inlineStr">
        <is>
          <t>2025-02-01</t>
        </is>
      </c>
      <c r="D3" t="inlineStr">
        <is>
          <t>Community Waste Disposal</t>
        </is>
      </c>
      <c r="E3" s="8" t="n">
        <v>11186.23</v>
      </c>
      <c r="F3" s="8" t="n">
        <v>26.88997596153846</v>
      </c>
      <c r="G3" s="8" t="n">
        <v>20920.32</v>
      </c>
      <c r="H3" s="8" t="n">
        <v>10460.16</v>
      </c>
      <c r="I3" t="inlineStr"/>
    </row>
    <row r="4">
      <c r="A4" t="inlineStr">
        <is>
          <t>2025-03</t>
        </is>
      </c>
      <c r="B4" t="n">
        <v>1659950</v>
      </c>
      <c r="C4" t="inlineStr">
        <is>
          <t>2025-03-01</t>
        </is>
      </c>
      <c r="D4" t="inlineStr">
        <is>
          <t>Community Waste Disposal</t>
        </is>
      </c>
      <c r="E4" s="8" t="n">
        <v>11186.23</v>
      </c>
      <c r="F4" s="8" t="n">
        <v>26.88997596153846</v>
      </c>
      <c r="G4" s="8" t="n">
        <v>32106.55</v>
      </c>
      <c r="H4" s="8" t="n">
        <v>10702.18333333333</v>
      </c>
      <c r="I4" t="inlineStr"/>
    </row>
    <row r="5">
      <c r="A5" t="inlineStr">
        <is>
          <t>2025-04</t>
        </is>
      </c>
      <c r="B5" t="n">
        <v>1670181</v>
      </c>
      <c r="C5" t="inlineStr">
        <is>
          <t>2025-04-01</t>
        </is>
      </c>
      <c r="D5" t="inlineStr">
        <is>
          <t>Community Waste Disposal</t>
        </is>
      </c>
      <c r="E5" s="8" t="n">
        <v>11186.23</v>
      </c>
      <c r="F5" s="8" t="n">
        <v>26.88997596153846</v>
      </c>
      <c r="G5" s="8" t="n">
        <v>43292.78000000001</v>
      </c>
      <c r="H5" s="8" t="n">
        <v>10823.195</v>
      </c>
      <c r="I5" t="inlineStr"/>
    </row>
    <row r="6">
      <c r="A6" t="inlineStr">
        <is>
          <t>2025-05</t>
        </is>
      </c>
      <c r="B6" t="n">
        <v>1683035</v>
      </c>
      <c r="C6" t="inlineStr">
        <is>
          <t>2025-05-01</t>
        </is>
      </c>
      <c r="D6" t="inlineStr">
        <is>
          <t>Community Waste Disposal, LP</t>
        </is>
      </c>
      <c r="E6" s="8" t="n">
        <v>11186.23</v>
      </c>
      <c r="F6" s="8" t="n">
        <v>26.88997596153846</v>
      </c>
      <c r="G6" s="8" t="n">
        <v>54479.01000000001</v>
      </c>
      <c r="H6" s="8" t="n">
        <v>10895.802</v>
      </c>
      <c r="I6" t="inlineStr"/>
    </row>
    <row r="7">
      <c r="A7" t="inlineStr">
        <is>
          <t>2025-06</t>
        </is>
      </c>
      <c r="B7" t="n">
        <v>1692851</v>
      </c>
      <c r="C7" t="inlineStr">
        <is>
          <t>2025-06-01</t>
        </is>
      </c>
      <c r="D7" t="inlineStr">
        <is>
          <t>Community Waste Disposal, LP</t>
        </is>
      </c>
      <c r="E7" s="8" t="n">
        <v>11186.23</v>
      </c>
      <c r="F7" s="8" t="n">
        <v>26.88997596153846</v>
      </c>
      <c r="G7" s="8" t="n">
        <v>65665.24000000001</v>
      </c>
      <c r="H7" s="8" t="n">
        <v>10944.20666666667</v>
      </c>
      <c r="I7" t="inlineStr"/>
    </row>
    <row r="8">
      <c r="A8" t="inlineStr">
        <is>
          <t>2025-07</t>
        </is>
      </c>
      <c r="B8" t="n">
        <v>1703134</v>
      </c>
      <c r="C8" t="inlineStr">
        <is>
          <t>2025-07-01</t>
        </is>
      </c>
      <c r="D8" t="inlineStr">
        <is>
          <t>Community Waste Disposal, LP</t>
        </is>
      </c>
      <c r="E8" s="8" t="n">
        <v>11279.6</v>
      </c>
      <c r="F8" s="8" t="n">
        <v>27.11442307692308</v>
      </c>
      <c r="G8" s="8" t="n">
        <v>76944.84000000001</v>
      </c>
      <c r="H8" s="8" t="n">
        <v>10992.12</v>
      </c>
      <c r="I8" t="inlineStr"/>
    </row>
    <row r="9">
      <c r="A9" t="inlineStr">
        <is>
          <t>2025-08</t>
        </is>
      </c>
      <c r="B9" t="n">
        <v>1716406</v>
      </c>
      <c r="C9" t="inlineStr">
        <is>
          <t>2025-08-01</t>
        </is>
      </c>
      <c r="D9" t="inlineStr">
        <is>
          <t>Community Waste Disposal, LP</t>
        </is>
      </c>
      <c r="E9" s="8" t="n">
        <v>11107.92</v>
      </c>
      <c r="F9" s="8" t="n">
        <v>26.70173076923077</v>
      </c>
      <c r="G9" s="8" t="n">
        <v>88052.76000000001</v>
      </c>
      <c r="H9" s="8" t="n">
        <v>11006.595</v>
      </c>
      <c r="I9" t="inlineStr"/>
    </row>
    <row r="10">
      <c r="A10" t="inlineStr">
        <is>
          <t>2025-10</t>
        </is>
      </c>
      <c r="B10" t="n">
        <v>1737287</v>
      </c>
      <c r="C10" t="inlineStr">
        <is>
          <t>2025-10-01</t>
        </is>
      </c>
      <c r="D10" t="inlineStr">
        <is>
          <t>Community Waste Disposal, LP</t>
        </is>
      </c>
      <c r="E10" s="8" t="n">
        <v>11105.92</v>
      </c>
      <c r="F10" s="8" t="n">
        <v>26.69692307692308</v>
      </c>
      <c r="G10" s="8" t="n">
        <v>99158.67999999999</v>
      </c>
      <c r="H10" s="8" t="n">
        <v>11017.63111111111</v>
      </c>
      <c r="I10" t="inlineStr"/>
    </row>
    <row r="11">
      <c r="D11" s="4" t="inlineStr">
        <is>
          <t>TOTAL:</t>
        </is>
      </c>
      <c r="E11" s="9">
        <f>SUM(E2:E10)</f>
        <v/>
      </c>
      <c r="F11" s="9">
        <f>AVERAGE(F2:F10)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0" t="inlineStr">
        <is>
          <t>McCord Park FL - Budget Projection</t>
        </is>
      </c>
    </row>
    <row r="2">
      <c r="A2" s="2" t="inlineStr">
        <is>
          <t>Based on actual expense data for budget planning</t>
        </is>
      </c>
    </row>
    <row r="4">
      <c r="A4" s="11" t="inlineStr">
        <is>
          <t>HISTORICAL AVERAGES</t>
        </is>
      </c>
    </row>
    <row r="5">
      <c r="A5" s="4" t="inlineStr">
        <is>
          <t>Average Monthly Expense:</t>
        </is>
      </c>
      <c r="B5" s="8" t="n">
        <v>11017.63111111111</v>
      </c>
    </row>
    <row r="6">
      <c r="A6" s="4" t="inlineStr">
        <is>
          <t>Average Cost Per Door:</t>
        </is>
      </c>
      <c r="B6" s="8" t="n">
        <v>26.48469017094017</v>
      </c>
    </row>
    <row r="7">
      <c r="A7" s="4" t="inlineStr">
        <is>
          <t>Data Period:</t>
        </is>
      </c>
      <c r="B7" t="inlineStr">
        <is>
          <t>9 months (2025-01 to 2025-10)</t>
        </is>
      </c>
    </row>
    <row r="9">
      <c r="A9" s="11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11017.63111111111</v>
      </c>
      <c r="C11" s="8" t="n">
        <v>26.48469017094017</v>
      </c>
      <c r="D11" s="8" t="n">
        <v>33052.89333333333</v>
      </c>
      <c r="E11" s="8" t="n">
        <v>33052.89333333333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11017.63111111111</v>
      </c>
      <c r="C12" s="8" t="n">
        <v>26.48469017094017</v>
      </c>
      <c r="D12" s="8" t="n">
        <v>33052.89333333333</v>
      </c>
      <c r="E12" s="8" t="n">
        <v>66105.78666666667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11017.63111111111</v>
      </c>
      <c r="C13" s="8" t="n">
        <v>26.48469017094017</v>
      </c>
      <c r="D13" s="8" t="n">
        <v>33052.89333333333</v>
      </c>
      <c r="E13" s="8" t="n">
        <v>99158.67999999999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11017.63111111111</v>
      </c>
      <c r="C14" s="8" t="n">
        <v>26.48469017094017</v>
      </c>
      <c r="D14" s="8" t="n">
        <v>33052.89333333333</v>
      </c>
      <c r="E14" s="8" t="n">
        <v>132211.5733333333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2" t="n">
        <v>132211.5733333333</v>
      </c>
    </row>
    <row r="17">
      <c r="A17" s="11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9915.868</v>
      </c>
      <c r="C19" s="8" t="n">
        <v>118990.416</v>
      </c>
      <c r="D19" s="13" t="n">
        <v>-0.1</v>
      </c>
    </row>
    <row r="20">
      <c r="A20" t="inlineStr">
        <is>
          <t>Expected (Baseline)</t>
        </is>
      </c>
      <c r="B20" s="8" t="n">
        <v>11017.63111111111</v>
      </c>
      <c r="C20" s="8" t="n">
        <v>132211.5733333333</v>
      </c>
      <c r="D20" s="14" t="n">
        <v>0</v>
      </c>
    </row>
    <row r="21">
      <c r="A21" t="inlineStr">
        <is>
          <t>Conservative (+10%)</t>
        </is>
      </c>
      <c r="B21" s="8" t="n">
        <v>12119.39422222222</v>
      </c>
      <c r="C21" s="8" t="n">
        <v>145432.7306666667</v>
      </c>
      <c r="D21" s="14" t="n">
        <v>0.1</v>
      </c>
    </row>
    <row r="22">
      <c r="A22" t="inlineStr">
        <is>
          <t>Worst Case (+20%)</t>
        </is>
      </c>
      <c r="B22" s="8" t="n">
        <v>13221.15733333333</v>
      </c>
      <c r="C22" s="8" t="n">
        <v>158653.888</v>
      </c>
      <c r="D22" s="15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0" t="inlineStr">
        <is>
          <t>McCord Park FL - Service Configuration</t>
        </is>
      </c>
    </row>
    <row r="3">
      <c r="A3" s="4" t="inlineStr">
        <is>
          <t>Property Name</t>
        </is>
      </c>
      <c r="B3" t="inlineStr">
        <is>
          <t>McCord Park FL</t>
        </is>
      </c>
    </row>
    <row r="4">
      <c r="A4" s="4" t="inlineStr">
        <is>
          <t>Units</t>
        </is>
      </c>
      <c r="B4" t="n">
        <v>416</v>
      </c>
    </row>
    <row r="5">
      <c r="A5" s="4" t="inlineStr">
        <is>
          <t>State</t>
        </is>
      </c>
      <c r="B5" t="inlineStr">
        <is>
          <t>TX</t>
        </is>
      </c>
    </row>
    <row r="6">
      <c r="A6" s="4" t="inlineStr">
        <is>
          <t>City</t>
        </is>
      </c>
      <c r="B6" t="inlineStr">
        <is>
          <t>Little Elm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Dumpster</t>
        </is>
      </c>
    </row>
    <row r="10">
      <c r="A10" s="16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A</t>
        </is>
      </c>
    </row>
    <row r="12">
      <c r="A12" s="4" t="inlineStr">
        <is>
          <t>Amount Field</t>
        </is>
      </c>
      <c r="B12" t="inlineStr">
        <is>
          <t>Extended Amount</t>
        </is>
      </c>
    </row>
    <row r="14">
      <c r="A14" s="16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2025-01</t>
        </is>
      </c>
    </row>
    <row r="16">
      <c r="A16" s="4" t="inlineStr">
        <is>
          <t>Date Range End</t>
        </is>
      </c>
      <c r="B16" t="inlineStr">
        <is>
          <t>2025-10</t>
        </is>
      </c>
    </row>
    <row r="17">
      <c r="A17" s="4" t="inlineStr">
        <is>
          <t>Months Covered</t>
        </is>
      </c>
      <c r="B17" t="n">
        <v>9</v>
      </c>
    </row>
    <row r="18">
      <c r="A18" s="4" t="inlineStr">
        <is>
          <t>Total Records</t>
        </is>
      </c>
      <c r="B18" t="n">
        <v>42</v>
      </c>
    </row>
    <row r="20">
      <c r="A20" s="16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2</v>
      </c>
    </row>
    <row r="23">
      <c r="A23" s="16" t="inlineStr">
        <is>
          <t>NOTES</t>
        </is>
      </c>
    </row>
    <row r="24">
      <c r="A24" s="17" t="inlineStr">
        <is>
          <t>September 2025 data missing - confirmed 1 month gap</t>
        </is>
      </c>
    </row>
  </sheetData>
  <mergeCells count="2">
    <mergeCell ref="A24:B24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0" t="inlineStr">
        <is>
          <t>Data Validation Report</t>
        </is>
      </c>
    </row>
    <row r="2">
      <c r="A2" t="inlineStr">
        <is>
          <t>Property: McCord Park FL</t>
        </is>
      </c>
    </row>
    <row r="3">
      <c r="A3" t="inlineStr">
        <is>
          <t>Extraction Date: 2025-11-13T07:36:35.082600</t>
        </is>
      </c>
    </row>
    <row r="4">
      <c r="A4" s="18" t="inlineStr">
        <is>
          <t>Overall Status: PASSED</t>
        </is>
      </c>
    </row>
    <row r="6">
      <c r="A6" s="11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99158.67999999999</v>
      </c>
      <c r="C8" s="8" t="n">
        <v>99158.68000000001</v>
      </c>
      <c r="D8" s="18" t="inlineStr">
        <is>
          <t>PASS</t>
        </is>
      </c>
    </row>
    <row r="9">
      <c r="A9" t="inlineStr">
        <is>
          <t>Month Count</t>
        </is>
      </c>
      <c r="B9" t="n">
        <v>9</v>
      </c>
      <c r="C9" t="n">
        <v>9</v>
      </c>
      <c r="D9" s="18" t="inlineStr">
        <is>
          <t>PASS</t>
        </is>
      </c>
    </row>
    <row r="10">
      <c r="A10" t="inlineStr">
        <is>
          <t>Date Range</t>
        </is>
      </c>
      <c r="D10" s="18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2025-11-13T13:37:43Z</dcterms:created>
  <dcterms:modified xmlns:dcterms="http://purl.org/dc/terms/" xmlns:xsi="http://www.w3.org/2001/XMLSchema-instance" xsi:type="dcterms:W3CDTF">2025-11-13T13:37:43Z</dcterms:modified>
</cp:coreProperties>
</file>