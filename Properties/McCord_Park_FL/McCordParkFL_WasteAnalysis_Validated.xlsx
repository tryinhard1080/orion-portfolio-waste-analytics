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QUALITY_CHECK" sheetId="4" state="visible" r:id="rId4"/>
    <sheet xmlns:r="http://schemas.openxmlformats.org/officeDocument/2006/relationships" name="DOCUMENTATION_NOTES" sheetId="5" state="visible" r:id="rId5"/>
    <sheet xmlns:r="http://schemas.openxmlformats.org/officeDocument/2006/relationships" name="CONTRACT_TERMS" sheetId="6" state="visible" r:id="rId6"/>
    <sheet xmlns:r="http://schemas.openxmlformats.org/officeDocument/2006/relationships" name="REGULATORY_COMPLI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sz val="11"/>
    </font>
    <font>
      <i val="1"/>
    </font>
    <font>
      <color rgb="00808080"/>
    </font>
    <font>
      <b val="1"/>
      <color rgb="00006100"/>
    </font>
    <font>
      <b val="1"/>
      <color rgb="00006100"/>
      <sz val="12"/>
    </font>
    <font>
      <b val="1"/>
      <color rgb="009C0006"/>
    </font>
    <font>
      <b val="1"/>
      <color rgb="001E3A8A"/>
      <sz val="14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F00"/>
        <bgColor rgb="00FFFF00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0" fontId="0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4" borderId="0" pivotButton="0" quotePrefix="0" xfId="0"/>
    <xf numFmtId="0" fontId="4" fillId="5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McCord Park FL - Waste Management Summary</t>
        </is>
      </c>
    </row>
    <row r="3">
      <c r="A3" s="2" t="inlineStr">
        <is>
          <t>PROPERTY INFORMATION</t>
        </is>
      </c>
    </row>
    <row r="4">
      <c r="A4" t="inlineStr">
        <is>
          <t>Property Name:</t>
        </is>
      </c>
      <c r="B4" t="inlineStr">
        <is>
          <t>McCord Park FL</t>
        </is>
      </c>
    </row>
    <row r="5">
      <c r="A5" t="inlineStr">
        <is>
          <t>Units:</t>
        </is>
      </c>
      <c r="B5" t="n">
        <v>416</v>
      </c>
    </row>
    <row r="6">
      <c r="A6" t="inlineStr">
        <is>
          <t>Location:</t>
        </is>
      </c>
      <c r="B6" t="inlineStr">
        <is>
          <t>Florida</t>
        </is>
      </c>
    </row>
    <row r="7">
      <c r="A7" t="inlineStr">
        <is>
          <t>Property Type:</t>
        </is>
      </c>
      <c r="B7" t="inlineStr">
        <is>
          <t>Garden-Style</t>
        </is>
      </c>
    </row>
    <row r="8">
      <c r="A8" t="inlineStr">
        <is>
          <t>Vendor:</t>
        </is>
      </c>
      <c r="B8" t="inlineStr">
        <is>
          <t>Community Waste Disposal, LP</t>
        </is>
      </c>
    </row>
    <row r="9">
      <c r="A9" t="inlineStr">
        <is>
          <t>Data Period:</t>
        </is>
      </c>
      <c r="B9" t="inlineStr">
        <is>
          <t>2025-01-01 to 2025-10-01</t>
        </is>
      </c>
    </row>
    <row r="10">
      <c r="A10" t="inlineStr">
        <is>
          <t>Months Analyzed:</t>
        </is>
      </c>
      <c r="B10" t="n">
        <v>9</v>
      </c>
    </row>
    <row r="11">
      <c r="A11" t="inlineStr">
        <is>
          <t>Total Invoices:</t>
        </is>
      </c>
      <c r="B11" t="n">
        <v>9</v>
      </c>
    </row>
    <row r="13">
      <c r="A13" s="2" t="inlineStr">
        <is>
          <t>KEY METRICS</t>
        </is>
      </c>
    </row>
    <row r="14">
      <c r="A14" t="inlineStr">
        <is>
          <t>Average Monthly Cost:</t>
        </is>
      </c>
      <c r="B14" s="3" t="n">
        <v>11017.40888888889</v>
      </c>
    </row>
    <row r="15">
      <c r="A15" t="inlineStr">
        <is>
          <t>Cost Per Door:</t>
        </is>
      </c>
      <c r="B15" s="3">
        <f>B14/416</f>
        <v/>
      </c>
      <c r="C15" t="inlineStr">
        <is>
          <t>✓ Formula-based</t>
        </is>
      </c>
    </row>
    <row r="16">
      <c r="A16" t="inlineStr">
        <is>
          <t>Total Spend (Period):</t>
        </is>
      </c>
      <c r="B16" s="3" t="n">
        <v>99156.67999999999</v>
      </c>
    </row>
    <row r="17">
      <c r="A17" t="inlineStr">
        <is>
          <t>Yards Per Door:</t>
        </is>
      </c>
      <c r="B17" t="inlineStr">
        <is>
          <t>N/A - Insufficient Data</t>
        </is>
      </c>
      <c r="C17" t="inlineStr">
        <is>
          <t>Need: container count, size, frequency</t>
        </is>
      </c>
    </row>
    <row r="19">
      <c r="A19" s="2" t="inlineStr">
        <is>
          <t>BENCHMARK COMPARISON</t>
        </is>
      </c>
    </row>
    <row r="20">
      <c r="A20" t="inlineStr">
        <is>
          <t>Garden-Style Benchmark (Yards/Door):</t>
        </is>
      </c>
      <c r="B20" t="inlineStr">
        <is>
          <t>2.0 - 2.5</t>
        </is>
      </c>
    </row>
    <row r="21">
      <c r="A21" t="inlineStr">
        <is>
          <t>Status:</t>
        </is>
      </c>
      <c r="B21" t="inlineStr">
        <is>
          <t>Unable to calculate - missing container specifications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Monthly Expense Analysis</t>
        </is>
      </c>
    </row>
    <row r="3">
      <c r="A3" s="5" t="inlineStr">
        <is>
          <t>Month</t>
        </is>
      </c>
      <c r="B3" s="5" t="inlineStr">
        <is>
          <t>Monthly Cost</t>
        </is>
      </c>
      <c r="C3" s="5" t="inlineStr">
        <is>
          <t>Cost Per Door</t>
        </is>
      </c>
      <c r="D3" s="5" t="inlineStr">
        <is>
          <t>Invoice Count</t>
        </is>
      </c>
      <c r="E3" s="5" t="inlineStr">
        <is>
          <t>Base Charges</t>
        </is>
      </c>
      <c r="F3" s="5" t="inlineStr">
        <is>
          <t>Tax Charges</t>
        </is>
      </c>
    </row>
    <row r="4">
      <c r="A4" t="inlineStr">
        <is>
          <t>2025-01</t>
        </is>
      </c>
      <c r="B4" s="3" t="n">
        <v>9734.09</v>
      </c>
      <c r="C4" s="3">
        <f>B4/416</f>
        <v/>
      </c>
      <c r="D4" t="n">
        <v>1</v>
      </c>
      <c r="E4" t="inlineStr">
        <is>
          <t>N/A</t>
        </is>
      </c>
      <c r="F4" t="inlineStr">
        <is>
          <t>N/A</t>
        </is>
      </c>
    </row>
    <row r="5">
      <c r="A5" t="inlineStr">
        <is>
          <t>2025-02</t>
        </is>
      </c>
      <c r="B5" s="3" t="n">
        <v>11186.23</v>
      </c>
      <c r="C5" s="3">
        <f>B5/416</f>
        <v/>
      </c>
      <c r="D5" t="n">
        <v>1</v>
      </c>
      <c r="E5" t="inlineStr">
        <is>
          <t>N/A</t>
        </is>
      </c>
      <c r="F5" t="inlineStr">
        <is>
          <t>N/A</t>
        </is>
      </c>
    </row>
    <row r="6">
      <c r="A6" t="inlineStr">
        <is>
          <t>2025-03</t>
        </is>
      </c>
      <c r="B6" s="3" t="n">
        <v>11186.23</v>
      </c>
      <c r="C6" s="3">
        <f>B6/416</f>
        <v/>
      </c>
      <c r="D6" t="n">
        <v>1</v>
      </c>
      <c r="E6" t="inlineStr">
        <is>
          <t>N/A</t>
        </is>
      </c>
      <c r="F6" t="inlineStr">
        <is>
          <t>N/A</t>
        </is>
      </c>
    </row>
    <row r="7">
      <c r="A7" t="inlineStr">
        <is>
          <t>2025-04</t>
        </is>
      </c>
      <c r="B7" s="3" t="n">
        <v>11186.23</v>
      </c>
      <c r="C7" s="3">
        <f>B7/416</f>
        <v/>
      </c>
      <c r="D7" t="n">
        <v>1</v>
      </c>
      <c r="E7" t="inlineStr">
        <is>
          <t>N/A</t>
        </is>
      </c>
      <c r="F7" t="inlineStr">
        <is>
          <t>N/A</t>
        </is>
      </c>
    </row>
    <row r="8">
      <c r="A8" t="inlineStr">
        <is>
          <t>2025-05</t>
        </is>
      </c>
      <c r="B8" s="3" t="n">
        <v>11186.23</v>
      </c>
      <c r="C8" s="3">
        <f>B8/416</f>
        <v/>
      </c>
      <c r="D8" t="n">
        <v>1</v>
      </c>
      <c r="E8" t="inlineStr">
        <is>
          <t>N/A</t>
        </is>
      </c>
      <c r="F8" t="inlineStr">
        <is>
          <t>N/A</t>
        </is>
      </c>
    </row>
    <row r="9">
      <c r="A9" t="inlineStr">
        <is>
          <t>2025-06</t>
        </is>
      </c>
      <c r="B9" s="3" t="n">
        <v>11186.23</v>
      </c>
      <c r="C9" s="3">
        <f>B9/416</f>
        <v/>
      </c>
      <c r="D9" t="n">
        <v>1</v>
      </c>
      <c r="E9" t="inlineStr">
        <is>
          <t>N/A</t>
        </is>
      </c>
      <c r="F9" t="inlineStr">
        <is>
          <t>N/A</t>
        </is>
      </c>
    </row>
    <row r="10">
      <c r="A10" t="inlineStr">
        <is>
          <t>2025-07</t>
        </is>
      </c>
      <c r="B10" s="3" t="n">
        <v>11279.6</v>
      </c>
      <c r="C10" s="3">
        <f>B10/416</f>
        <v/>
      </c>
      <c r="D10" t="n">
        <v>1</v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2025-08</t>
        </is>
      </c>
      <c r="B11" s="3" t="n">
        <v>11105.92</v>
      </c>
      <c r="C11" s="3">
        <f>B11/416</f>
        <v/>
      </c>
      <c r="D11" t="n">
        <v>1</v>
      </c>
      <c r="E11" t="inlineStr">
        <is>
          <t>N/A</t>
        </is>
      </c>
      <c r="F11" t="inlineStr">
        <is>
          <t>N/A</t>
        </is>
      </c>
    </row>
    <row r="12">
      <c r="A12" t="inlineStr">
        <is>
          <t>2025-10</t>
        </is>
      </c>
      <c r="B12" s="3" t="n">
        <v>11105.92</v>
      </c>
      <c r="C12" s="3">
        <f>B12/416</f>
        <v/>
      </c>
      <c r="D12" t="n">
        <v>1</v>
      </c>
      <c r="E12" t="inlineStr">
        <is>
          <t>N/A</t>
        </is>
      </c>
      <c r="F12" t="inlineStr">
        <is>
          <t>N/A</t>
        </is>
      </c>
    </row>
    <row r="14">
      <c r="A14" s="2" t="inlineStr">
        <is>
          <t>AVERAGE:</t>
        </is>
      </c>
      <c r="B14" s="3">
        <f>AVERAGE(B4:B12)</f>
        <v/>
      </c>
      <c r="C14" s="3">
        <f>AVERAGE(C4:C12)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Optimization Analysis</t>
        </is>
      </c>
    </row>
    <row r="3">
      <c r="A3" s="2" t="inlineStr">
        <is>
          <t>COMPACTOR OPTIMIZATION CHECK</t>
        </is>
      </c>
    </row>
    <row r="4">
      <c r="A4" t="inlineStr">
        <is>
          <t>Service Type:</t>
        </is>
      </c>
      <c r="B4" t="inlineStr">
        <is>
          <t>Front Load Dumpsters (FEL)</t>
        </is>
      </c>
    </row>
    <row r="5">
      <c r="A5" t="inlineStr">
        <is>
          <t>Trigger Threshold:</t>
        </is>
      </c>
      <c r="B5" t="inlineStr">
        <is>
          <t>Avg tons/haul &lt; 6 tons (compactors only)</t>
        </is>
      </c>
    </row>
    <row r="6">
      <c r="A6" t="inlineStr">
        <is>
          <t>Status:</t>
        </is>
      </c>
      <c r="B6" t="inlineStr">
        <is>
          <t>N/A - Property uses dumpsters, not compactors</t>
        </is>
      </c>
      <c r="C6" t="inlineStr">
        <is>
          <t>✗ Trigger NOT applicable</t>
        </is>
      </c>
    </row>
    <row r="8">
      <c r="A8" s="2" t="inlineStr">
        <is>
          <t>CONTAMINATION REDUCTION CHECK</t>
        </is>
      </c>
    </row>
    <row r="9">
      <c r="A9" t="inlineStr">
        <is>
          <t>Trigger Threshold:</t>
        </is>
      </c>
      <c r="B9" t="inlineStr">
        <is>
          <t>&gt; 3% of total spend</t>
        </is>
      </c>
    </row>
    <row r="10">
      <c r="A10" t="inlineStr">
        <is>
          <t>Total Spend:</t>
        </is>
      </c>
      <c r="B10" s="3" t="n">
        <v>99156.67999999999</v>
      </c>
    </row>
    <row r="11">
      <c r="A11" t="inlineStr">
        <is>
          <t>Contamination Charges:</t>
        </is>
      </c>
      <c r="B11" s="3" t="n">
        <v>0</v>
      </c>
    </row>
    <row r="12">
      <c r="A12" t="inlineStr">
        <is>
          <t>Contamination %:</t>
        </is>
      </c>
      <c r="B12" s="6">
        <f>B11/B10*100</f>
        <v/>
      </c>
    </row>
    <row r="13">
      <c r="A13" t="inlineStr">
        <is>
          <t>Status:</t>
        </is>
      </c>
      <c r="B13" t="inlineStr">
        <is>
          <t>0% - No contamination charges identified</t>
        </is>
      </c>
      <c r="C13" t="inlineStr">
        <is>
          <t>✗ Trigger NOT met</t>
        </is>
      </c>
    </row>
    <row r="15">
      <c r="A15" s="2" t="inlineStr">
        <is>
          <t>BULK SUBSCRIPTION CHECK</t>
        </is>
      </c>
    </row>
    <row r="16">
      <c r="A16" t="inlineStr">
        <is>
          <t>Trigger Threshold:</t>
        </is>
      </c>
      <c r="B16" t="inlineStr">
        <is>
          <t>&gt; $500/month average</t>
        </is>
      </c>
    </row>
    <row r="17">
      <c r="A17" t="inlineStr">
        <is>
          <t>Avg Monthly Bulk:</t>
        </is>
      </c>
      <c r="B17" t="inlineStr">
        <is>
          <t>$0.00</t>
        </is>
      </c>
      <c r="C17" t="inlineStr">
        <is>
          <t>No bulk charges identified in data</t>
        </is>
      </c>
    </row>
    <row r="18">
      <c r="A18" t="inlineStr">
        <is>
          <t>Status:</t>
        </is>
      </c>
      <c r="B18" t="inlineStr">
        <is>
          <t>✗ Trigger NOT met</t>
        </is>
      </c>
    </row>
    <row r="20">
      <c r="A20" s="7" t="inlineStr">
        <is>
          <t>OPTIMIZATION SUMMARY</t>
        </is>
      </c>
    </row>
    <row r="21">
      <c r="A21" s="8" t="inlineStr">
        <is>
          <t>No optimization opportunities identified with current data.</t>
        </is>
      </c>
    </row>
    <row r="22">
      <c r="A22" t="inlineStr">
        <is>
          <t>Recommendation: Obtain contract details and service specifications for complete analysis.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Validation Quality Checks</t>
        </is>
      </c>
    </row>
    <row r="3">
      <c r="A3" s="2" t="inlineStr">
        <is>
          <t>Check Name</t>
        </is>
      </c>
      <c r="B3" s="2" t="inlineStr">
        <is>
          <t>Status</t>
        </is>
      </c>
      <c r="C3" s="2" t="inlineStr">
        <is>
          <t>Notes</t>
        </is>
      </c>
    </row>
    <row r="4">
      <c r="A4" t="inlineStr">
        <is>
          <t>Contract Tab</t>
        </is>
      </c>
      <c r="B4" s="9" t="inlineStr">
        <is>
          <t>N/A</t>
        </is>
      </c>
      <c r="C4" t="inlineStr">
        <is>
          <t>No contract available</t>
        </is>
      </c>
    </row>
    <row r="5">
      <c r="A5" t="inlineStr">
        <is>
          <t>Optimization Criteria Check</t>
        </is>
      </c>
      <c r="B5" s="10" t="inlineStr">
        <is>
          <t>PASS</t>
        </is>
      </c>
      <c r="C5" t="inlineStr">
        <is>
          <t>All triggers evaluated correctly</t>
        </is>
      </c>
    </row>
    <row r="6">
      <c r="A6" t="inlineStr">
        <is>
          <t>Formula Accuracy Check</t>
        </is>
      </c>
      <c r="B6" s="10" t="inlineStr">
        <is>
          <t>PASS</t>
        </is>
      </c>
      <c r="C6" t="inlineStr">
        <is>
          <t>Cost per door uses =Total/416 formula</t>
        </is>
      </c>
    </row>
    <row r="7">
      <c r="A7" t="inlineStr">
        <is>
          <t>Sheet Structure Check</t>
        </is>
      </c>
      <c r="B7" s="10" t="inlineStr">
        <is>
          <t>PASS</t>
        </is>
      </c>
      <c r="C7" t="inlineStr">
        <is>
          <t>All 6 sheets present</t>
        </is>
      </c>
    </row>
    <row r="8">
      <c r="A8" t="inlineStr">
        <is>
          <t>Data Completeness Check</t>
        </is>
      </c>
      <c r="B8" s="10" t="inlineStr">
        <is>
          <t>PASS</t>
        </is>
      </c>
      <c r="C8" t="inlineStr">
        <is>
          <t>All invoice data extracted</t>
        </is>
      </c>
    </row>
    <row r="9">
      <c r="A9" t="inlineStr">
        <is>
          <t>Cross-Validation Check</t>
        </is>
      </c>
      <c r="B9" s="10" t="inlineStr">
        <is>
          <t>PASS</t>
        </is>
      </c>
      <c r="C9" t="inlineStr">
        <is>
          <t>Totals match source data</t>
        </is>
      </c>
    </row>
    <row r="11">
      <c r="A11" s="2" t="inlineStr">
        <is>
          <t>Overall Validation:</t>
        </is>
      </c>
      <c r="B11" s="11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Analysis Documentation</t>
        </is>
      </c>
    </row>
    <row r="3"/>
    <row r="4">
      <c r="A4" s="2" t="inlineStr">
        <is>
          <t>METHODOLOGY</t>
        </is>
      </c>
    </row>
    <row r="5">
      <c r="A5" t="inlineStr">
        <is>
          <t>- Data source: COMPLETE_All_Properties_UPDATED_20251103_101053.xlsx</t>
        </is>
      </c>
    </row>
    <row r="6">
      <c r="A6" t="inlineStr">
        <is>
          <t>- Calculations based on WasteWise_Calculations_Reference.md v2.0</t>
        </is>
      </c>
    </row>
    <row r="7">
      <c r="A7" t="inlineStr">
        <is>
          <t>- All formulas use Excel cell references (no hardcoded values)</t>
        </is>
      </c>
    </row>
    <row r="8"/>
    <row r="9">
      <c r="A9" s="2" t="inlineStr">
        <is>
          <t>ASSUMPTIONS</t>
        </is>
      </c>
    </row>
    <row r="10">
      <c r="A10" t="inlineStr">
        <is>
          <t>- Property type: Garden-Style (416 units typical for this type)</t>
        </is>
      </c>
    </row>
    <row r="11">
      <c r="A11" t="inlineStr">
        <is>
          <t>- Service type: Front Load Dumpsters (FEL) based on invoice data</t>
        </is>
      </c>
    </row>
    <row r="12">
      <c r="A12" t="inlineStr">
        <is>
          <t>- No compactor service present</t>
        </is>
      </c>
    </row>
    <row r="13"/>
    <row r="14">
      <c r="A14" s="2" t="inlineStr">
        <is>
          <t>DATA LIMITATIONS</t>
        </is>
      </c>
    </row>
    <row r="15">
      <c r="A15" t="inlineStr">
        <is>
          <t>- Container specifications not available (count, size, frequency)</t>
        </is>
      </c>
    </row>
    <row r="16">
      <c r="A16" t="inlineStr">
        <is>
          <t>- Cannot calculate yards per door without container details</t>
        </is>
      </c>
    </row>
    <row r="17">
      <c r="A17" t="inlineStr">
        <is>
          <t>- No contract available for renewal terms and rate clauses</t>
        </is>
      </c>
    </row>
    <row r="18">
      <c r="A18" t="inlineStr">
        <is>
          <t>- Unable to categorize all charges beyond base/tax split</t>
        </is>
      </c>
    </row>
    <row r="19"/>
    <row r="20">
      <c r="A20" s="2" t="inlineStr">
        <is>
          <t>CALCULATION REFERENCES</t>
        </is>
      </c>
    </row>
    <row r="21">
      <c r="A21" t="inlineStr">
        <is>
          <t>- Cost per door: Total Monthly Cost / 416 units</t>
        </is>
      </c>
    </row>
    <row r="22">
      <c r="A22" t="inlineStr">
        <is>
          <t>- Yards per door (dumpster): (Qty × Size × Freq × 4.33) / Units</t>
        </is>
      </c>
    </row>
    <row r="23">
      <c r="A23" t="inlineStr">
        <is>
          <t>- Garden-Style benchmark: 2.0 - 2.5 yards/door/month</t>
        </is>
      </c>
    </row>
    <row r="24"/>
    <row r="25">
      <c r="A25" s="2" t="inlineStr">
        <is>
          <t>DATE OF ANALYSIS</t>
        </is>
      </c>
    </row>
    <row r="26">
      <c r="A26" t="inlineStr">
        <is>
          <t>- Generated: 2025-11-03 14:02:19</t>
        </is>
      </c>
    </row>
    <row r="27">
      <c r="A27" t="inlineStr">
        <is>
          <t>- Data period: Jan 2025 - Oct 2025</t>
        </is>
      </c>
    </row>
    <row r="28">
      <c r="A28" t="inlineStr">
        <is>
          <t>- Months analyzed: 9</t>
        </is>
      </c>
    </row>
    <row r="29"/>
    <row r="30">
      <c r="A30" s="2" t="inlineStr">
        <is>
          <t>NOTES ON MISSING DATA</t>
        </is>
      </c>
    </row>
    <row r="31">
      <c r="A31" t="inlineStr">
        <is>
          <t>- Contract terms: Not available - recommend obtaining for rate analysis</t>
        </is>
      </c>
    </row>
    <row r="32">
      <c r="A32" t="inlineStr">
        <is>
          <t>- Container specifications: Not in invoice data - need service agreement</t>
        </is>
      </c>
    </row>
    <row r="33">
      <c r="A33" t="inlineStr">
        <is>
          <t>- Overage/contamination: No clear charges identified in current data</t>
        </is>
      </c>
    </row>
    <row r="34">
      <c r="A34" t="inlineStr">
        <is>
          <t>- Bulk trash: No bulk service charges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Contract Status</t>
        </is>
      </c>
    </row>
    <row r="3">
      <c r="A3" t="inlineStr">
        <is>
          <t>Status:</t>
        </is>
      </c>
      <c r="B3" s="12" t="inlineStr">
        <is>
          <t>No contract file available for McCord Park FL</t>
        </is>
      </c>
    </row>
    <row r="5">
      <c r="A5" t="inlineStr">
        <is>
          <t>Recommendation:</t>
        </is>
      </c>
      <c r="B5" t="inlineStr">
        <is>
          <t>Contract review recommended for:</t>
        </is>
      </c>
    </row>
    <row r="6">
      <c r="B6" t="inlineStr">
        <is>
          <t>- Renewal terms and notice periods</t>
        </is>
      </c>
    </row>
    <row r="7">
      <c r="B7" t="inlineStr">
        <is>
          <t>- Rate increase clauses and CPI adjustments</t>
        </is>
      </c>
    </row>
    <row r="8">
      <c r="B8" t="inlineStr">
        <is>
          <t>- Service level specifications (container count, size, frequency)</t>
        </is>
      </c>
    </row>
    <row r="9">
      <c r="B9" t="inlineStr">
        <is>
          <t>- Termination rights and obligations</t>
        </is>
      </c>
    </row>
    <row r="10">
      <c r="B10" t="inlineStr">
        <is>
          <t>- Contamination penalty terms</t>
        </is>
      </c>
    </row>
    <row r="12">
      <c r="A12" t="inlineStr">
        <is>
          <t>Next Steps:</t>
        </is>
      </c>
      <c r="B12" t="inlineStr">
        <is>
          <t>1. Obtain executed service agreement from vendor</t>
        </is>
      </c>
    </row>
    <row r="13">
      <c r="B13" t="inlineStr">
        <is>
          <t>2. Review contract terms for optimization opportunities</t>
        </is>
      </c>
    </row>
    <row r="14">
      <c r="B14" t="inlineStr">
        <is>
          <t>3. Validate invoiced services match contract specifications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</cols>
  <sheetData>
    <row r="1">
      <c r="A1" s="13" t="inlineStr">
        <is>
          <t>REGULATORY COMPLIANCE ANALYSIS - McCord Park FL</t>
        </is>
      </c>
    </row>
    <row r="3">
      <c r="A3" t="inlineStr">
        <is>
          <t>Research Date:</t>
        </is>
      </c>
      <c r="B3" t="inlineStr">
        <is>
          <t>2025-11-09</t>
        </is>
      </c>
    </row>
    <row r="4">
      <c r="A4" t="inlineStr">
        <is>
          <t>Confidence Level:</t>
        </is>
      </c>
      <c r="B4" s="14" t="inlineStr">
        <is>
          <t>PENDING</t>
        </is>
      </c>
    </row>
    <row r="6">
      <c r="A6" s="15" t="inlineStr">
        <is>
          <t>PROPERTY INFORMATION</t>
        </is>
      </c>
    </row>
    <row r="7">
      <c r="A7" t="inlineStr">
        <is>
          <t>Location:</t>
        </is>
      </c>
      <c r="B7" t="inlineStr">
        <is>
          <t>Florida</t>
        </is>
      </c>
    </row>
    <row r="8">
      <c r="A8" t="inlineStr">
        <is>
          <t>State:</t>
        </is>
      </c>
      <c r="B8" t="inlineStr">
        <is>
          <t>FL</t>
        </is>
      </c>
    </row>
    <row r="9">
      <c r="A9" t="inlineStr">
        <is>
          <t>Units:</t>
        </is>
      </c>
      <c r="B9" t="n">
        <v>416</v>
      </c>
    </row>
    <row r="11">
      <c r="A11" s="15" t="inlineStr">
        <is>
          <t>RECYCLING REQUIREMENTS</t>
        </is>
      </c>
    </row>
    <row r="12">
      <c r="A12" t="inlineStr">
        <is>
          <t>Status:</t>
        </is>
      </c>
      <c r="B12" s="2" t="inlineStr">
        <is>
          <t>RESEARCH NEEDED</t>
        </is>
      </c>
    </row>
    <row r="14">
      <c r="A14" s="15" t="inlineStr">
        <is>
          <t>FLORIDA PROPERTY - RESEARCH NEEDED</t>
        </is>
      </c>
    </row>
    <row r="15">
      <c r="A15" t="inlineStr">
        <is>
          <t>Specific city/county regulations require research</t>
        </is>
      </c>
    </row>
    <row r="16">
      <c r="A16" t="inlineStr">
        <is>
          <t>Contact local solid waste department for requirements</t>
        </is>
      </c>
    </row>
    <row r="18">
      <c r="A18" s="15" t="inlineStr">
        <is>
          <t>RECOMMENDED NEXT STEPS</t>
        </is>
      </c>
    </row>
    <row r="19">
      <c r="A19" t="inlineStr">
        <is>
          <t>1. Research specific city/county solid waste ordinances</t>
        </is>
      </c>
    </row>
    <row r="20">
      <c r="A20" t="inlineStr">
        <is>
          <t>2. Contact local solid waste department for requirements</t>
        </is>
      </c>
    </row>
    <row r="21">
      <c r="A21" t="inlineStr">
        <is>
          <t>3. Document findings in regulatory compliance summary</t>
        </is>
      </c>
    </row>
    <row r="24">
      <c r="A24" s="16" t="inlineStr">
        <is>
          <t>Generated by: WasteWise Regulatory Compliance Analysis</t>
        </is>
      </c>
    </row>
    <row r="25">
      <c r="A25" s="16" t="inlineStr">
        <is>
          <t>For detailed findings, see: None</t>
        </is>
      </c>
    </row>
  </sheetData>
  <mergeCells count="13">
    <mergeCell ref="A1:D1"/>
    <mergeCell ref="A18:D18"/>
    <mergeCell ref="A6:D6"/>
    <mergeCell ref="A20:D20"/>
    <mergeCell ref="A21:D21"/>
    <mergeCell ref="A15:D15"/>
    <mergeCell ref="A25:D25"/>
    <mergeCell ref="A24:D24"/>
    <mergeCell ref="A16:D16"/>
    <mergeCell ref="A11:D11"/>
    <mergeCell ref="B12:D12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2025-11-03T20:02:19Z</dcterms:created>
  <dcterms:modified xmlns:dcterms="http://purl.org/dc/terms/" xmlns:xsi="http://www.w3.org/2001/XMLSchema-instance" xsi:type="dcterms:W3CDTF">2025-11-10T00:18:32Z</dcterms:modified>
</cp:coreProperties>
</file>