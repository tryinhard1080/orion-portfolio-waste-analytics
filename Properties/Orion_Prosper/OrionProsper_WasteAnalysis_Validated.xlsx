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CRITICAL DATA LIMITATION WARNING</t>
        </is>
      </c>
      <c r="B2" t="inlineStr">
        <is>
          <t>Only 4 line items from 1 invoice - INSUFFICIENT for reliable analysis</t>
        </is>
      </c>
      <c r="C2" t="inlineStr">
        <is>
          <t>Optimization and trend analysis CANNOT be performed with this limited dataset</t>
        </is>
      </c>
    </row>
    <row r="3">
      <c r="A3" t="inlineStr">
        <is>
          <t>Data Rows Available</t>
        </is>
      </c>
      <c r="B3" t="inlineStr">
        <is>
          <t>4</t>
        </is>
      </c>
      <c r="C3" t="inlineStr">
        <is>
          <t>All 4 rows from same invoice: Republic Services-16282934_01-2025.pdf</t>
        </is>
      </c>
    </row>
    <row r="4">
      <c r="A4" t="inlineStr">
        <is>
          <t>Confidence Level</t>
        </is>
      </c>
      <c r="B4" t="inlineStr">
        <is>
          <t>LOW - Single invoice only</t>
        </is>
      </c>
      <c r="C4" t="inlineStr">
        <is>
          <t>Recommendations: Obtain 12+ months invoice history before optimization assessment</t>
        </is>
      </c>
    </row>
    <row r="5">
      <c r="A5" t="inlineStr"/>
      <c r="B5" t="inlineStr"/>
      <c r="C5" t="inlineStr"/>
    </row>
    <row r="6">
      <c r="A6" t="inlineStr">
        <is>
          <t>Property Name</t>
        </is>
      </c>
      <c r="B6" t="inlineStr">
        <is>
          <t>Orion Prosper</t>
        </is>
      </c>
      <c r="C6" t="inlineStr">
        <is>
          <t>Verified from invoice data</t>
        </is>
      </c>
    </row>
    <row r="7">
      <c r="A7" t="inlineStr">
        <is>
          <t>Units</t>
        </is>
      </c>
      <c r="B7" t="inlineStr">
        <is>
          <t>312</t>
        </is>
      </c>
      <c r="C7" t="inlineStr">
        <is>
          <t>Fixed property constant</t>
        </is>
      </c>
    </row>
    <row r="8">
      <c r="A8" t="inlineStr">
        <is>
          <t>Property Type</t>
        </is>
      </c>
      <c r="B8" t="inlineStr">
        <is>
          <t>Garden-Style (assumed)</t>
        </is>
      </c>
      <c r="C8" t="inlineStr">
        <is>
          <t>Assumed based on typical multifamily configuration</t>
        </is>
      </c>
    </row>
    <row r="9">
      <c r="A9" t="inlineStr"/>
      <c r="B9" t="inlineStr"/>
      <c r="C9" t="inlineStr"/>
    </row>
    <row r="10">
      <c r="A10" t="inlineStr">
        <is>
          <t>Vendor</t>
        </is>
      </c>
      <c r="B10" t="inlineStr">
        <is>
          <t>Republic Services</t>
        </is>
      </c>
      <c r="C10" t="inlineStr">
        <is>
          <t>Primary waste hauler</t>
        </is>
      </c>
    </row>
    <row r="11">
      <c r="A11" t="inlineStr">
        <is>
          <t>Account Number</t>
        </is>
      </c>
      <c r="B11" t="inlineStr">
        <is>
          <t>3-0615-0156865</t>
        </is>
      </c>
      <c r="C11" t="inlineStr">
        <is>
          <t>Republic Services account</t>
        </is>
      </c>
    </row>
    <row r="12">
      <c r="A12" t="inlineStr">
        <is>
          <t>Invoice Date</t>
        </is>
      </c>
      <c r="B12" t="inlineStr">
        <is>
          <t>2025-01-25</t>
        </is>
      </c>
      <c r="C12" t="inlineStr">
        <is>
          <t>Invoice received date</t>
        </is>
      </c>
    </row>
    <row r="13">
      <c r="A13" t="inlineStr">
        <is>
          <t>Service Period</t>
        </is>
      </c>
      <c r="B13" t="inlineStr">
        <is>
          <t>January 2025</t>
        </is>
      </c>
      <c r="C13" t="inlineStr">
        <is>
          <t>Service billing period</t>
        </is>
      </c>
    </row>
    <row r="14">
      <c r="A14" t="inlineStr"/>
      <c r="B14" t="inlineStr"/>
      <c r="C14" t="inlineStr"/>
    </row>
    <row r="15">
      <c r="A15" t="inlineStr">
        <is>
          <t>SERVICE CONFIGURATION</t>
        </is>
      </c>
      <c r="B15" t="inlineStr"/>
      <c r="C15" t="inlineStr"/>
    </row>
    <row r="16">
      <c r="A16" t="inlineStr">
        <is>
          <t>Container Type</t>
        </is>
      </c>
      <c r="B16" t="inlineStr">
        <is>
          <t>Front End Load (FEL)</t>
        </is>
      </c>
      <c r="C16" t="inlineStr">
        <is>
          <t>Standard front-end-load dumpsters</t>
        </is>
      </c>
    </row>
    <row r="17">
      <c r="A17" t="inlineStr">
        <is>
          <t>Quantity</t>
        </is>
      </c>
      <c r="B17" t="inlineStr">
        <is>
          <t>4</t>
        </is>
      </c>
      <c r="C17" t="inlineStr">
        <is>
          <t>Number of containers</t>
        </is>
      </c>
    </row>
    <row r="18">
      <c r="A18" t="inlineStr">
        <is>
          <t>Size (yards)</t>
        </is>
      </c>
      <c r="B18" t="inlineStr">
        <is>
          <t>10</t>
        </is>
      </c>
      <c r="C18" t="inlineStr">
        <is>
          <t>Container capacity</t>
        </is>
      </c>
    </row>
    <row r="19">
      <c r="A19" t="inlineStr">
        <is>
          <t>Frequency (lifts/week)</t>
        </is>
      </c>
      <c r="B19" t="inlineStr">
        <is>
          <t>12</t>
        </is>
      </c>
      <c r="C19" t="inlineStr">
        <is>
          <t>Total weekly service frequency</t>
        </is>
      </c>
    </row>
    <row r="20">
      <c r="A20" t="inlineStr">
        <is>
          <t>Total Weekly Capacity</t>
        </is>
      </c>
      <c r="B20">
        <f>C17*C18</f>
        <v/>
      </c>
      <c r="C20" t="inlineStr">
        <is>
          <t>Total container capacity in yards</t>
        </is>
      </c>
    </row>
    <row r="21">
      <c r="A21" t="inlineStr"/>
      <c r="B21" t="inlineStr"/>
      <c r="C21" t="inlineStr"/>
    </row>
    <row r="22">
      <c r="A22" t="inlineStr">
        <is>
          <t>FINANCIAL METRICS</t>
        </is>
      </c>
      <c r="B22" t="inlineStr"/>
      <c r="C22" t="inlineStr"/>
    </row>
    <row r="23">
      <c r="A23" t="inlineStr">
        <is>
          <t>Total Invoice Amount</t>
        </is>
      </c>
      <c r="B23">
        <f>SUM(EXPENSE_ANALYSIS!D2:D5)</f>
        <v/>
      </c>
      <c r="C23" t="inlineStr">
        <is>
          <t>Single invoice total - NOT representative of typical month</t>
        </is>
      </c>
    </row>
    <row r="24">
      <c r="A24" t="inlineStr">
        <is>
          <t>Cost Per Door</t>
        </is>
      </c>
      <c r="B24">
        <f>C23/C7</f>
        <v/>
      </c>
      <c r="C24" t="inlineStr">
        <is>
          <t>Calculated using formula: Total / 312 units</t>
        </is>
      </c>
    </row>
    <row r="25">
      <c r="A25" t="inlineStr">
        <is>
          <t>Monthly Base Cost</t>
        </is>
      </c>
      <c r="B25" t="inlineStr">
        <is>
          <t>2410.72</t>
        </is>
      </c>
      <c r="C25" t="inlineStr">
        <is>
          <t>Base service charges (4 containers x $602.68)</t>
        </is>
      </c>
    </row>
    <row r="26">
      <c r="A26" t="inlineStr">
        <is>
          <t>Overage Charges</t>
        </is>
      </c>
      <c r="B26" t="inlineStr">
        <is>
          <t>42.00</t>
        </is>
      </c>
      <c r="C26" t="inlineStr">
        <is>
          <t>Single overage incident on 12/30</t>
        </is>
      </c>
    </row>
    <row r="27">
      <c r="A27" t="inlineStr">
        <is>
          <t>Tax</t>
        </is>
      </c>
      <c r="B27" t="inlineStr">
        <is>
          <t>202.35</t>
        </is>
      </c>
      <c r="C27" t="inlineStr">
        <is>
          <t>City + State sales tax</t>
        </is>
      </c>
    </row>
    <row r="28">
      <c r="A28" t="inlineStr"/>
      <c r="B28" t="inlineStr"/>
      <c r="C28" t="inlineStr"/>
    </row>
    <row r="29">
      <c r="A29" t="inlineStr">
        <is>
          <t>PERFORMANCE METRICS</t>
        </is>
      </c>
      <c r="B29" t="inlineStr"/>
      <c r="C29" t="inlineStr"/>
    </row>
    <row r="30">
      <c r="A30" t="inlineStr">
        <is>
          <t>Yards Per Door (Monthly)</t>
        </is>
      </c>
      <c r="B30">
        <f>(C17*C18*C19*4.33)/C7</f>
        <v/>
      </c>
      <c r="C30" t="inlineStr">
        <is>
          <t>Calculated using dumpster formula: (Qty x Size x Freq x 4.33) / Units</t>
        </is>
      </c>
    </row>
    <row r="31">
      <c r="A31" t="inlineStr">
        <is>
          <t>Benchmark (Garden-Style)</t>
        </is>
      </c>
      <c r="B31" t="inlineStr">
        <is>
          <t>2.0 - 2.5</t>
        </is>
      </c>
      <c r="C31" t="inlineStr">
        <is>
          <t>Industry standard for garden-style properties</t>
        </is>
      </c>
    </row>
    <row r="32">
      <c r="A32" t="inlineStr">
        <is>
          <t>Status vs Benchmark</t>
        </is>
      </c>
      <c r="B32">
        <f>IF(C30&gt;=2.0, IF(C30&lt;=2.5, "Within Benchmark", "Above Benchmark"), "Below Benchmark")</f>
        <v/>
      </c>
      <c r="C32" t="inlineStr">
        <is>
          <t>Conditional check against benchmark range</t>
        </is>
      </c>
    </row>
    <row r="33">
      <c r="A33" t="inlineStr"/>
      <c r="B33" t="inlineStr"/>
      <c r="C33" t="inlineStr"/>
    </row>
    <row r="34">
      <c r="A34" t="inlineStr">
        <is>
          <t>DATA GAPS</t>
        </is>
      </c>
      <c r="B34" t="inlineStr"/>
      <c r="C34" t="inlineStr"/>
    </row>
    <row r="35">
      <c r="A35" t="inlineStr">
        <is>
          <t>Complete Invoice History</t>
        </is>
      </c>
      <c r="B35" t="inlineStr">
        <is>
          <t>NEEDED - Only 1 month available</t>
        </is>
      </c>
      <c r="C35" t="inlineStr">
        <is>
          <t>Critical for reliable optimization recommendations</t>
        </is>
      </c>
    </row>
    <row r="36">
      <c r="A36" t="inlineStr">
        <is>
          <t>Contract File</t>
        </is>
      </c>
      <c r="B36" t="inlineStr">
        <is>
          <t>NOT FOUND in Contracts folder</t>
        </is>
      </c>
      <c r="C36" t="inlineStr">
        <is>
          <t>Contract needed to validate pricing and terms</t>
        </is>
      </c>
    </row>
    <row r="37">
      <c r="A37" t="inlineStr">
        <is>
          <t>Tonnage Data</t>
        </is>
      </c>
      <c r="B37" t="inlineStr">
        <is>
          <t>N/A - Dumpster service (volume-based)</t>
        </is>
      </c>
      <c r="C37" t="inlineStr">
        <is>
          <t>Dumpster service measured by volume, not tonnage</t>
        </is>
      </c>
    </row>
    <row r="38">
      <c r="A38" t="inlineStr">
        <is>
          <t>Historical Trends</t>
        </is>
      </c>
      <c r="B38" t="inlineStr">
        <is>
          <t>NEEDED - Cannot assess trends with 1 invoice</t>
        </is>
      </c>
      <c r="C38" t="inlineStr">
        <is>
          <t>Single data point cannot establish trends</t>
        </is>
      </c>
    </row>
    <row r="39">
      <c r="A39" t="inlineStr"/>
      <c r="B39" t="inlineStr"/>
      <c r="C39" t="inlineStr"/>
    </row>
    <row r="40">
      <c r="A40" t="inlineStr">
        <is>
          <t>ANALYSIS VALIDITY</t>
        </is>
      </c>
      <c r="B40" t="inlineStr"/>
      <c r="C40" t="inlineStr"/>
    </row>
    <row r="41">
      <c r="A41" t="inlineStr">
        <is>
          <t>Can Calculate CPD</t>
        </is>
      </c>
      <c r="B41" t="inlineStr">
        <is>
          <t>YES - Can calculate from available data</t>
        </is>
      </c>
      <c r="C41" t="inlineStr">
        <is>
          <t>Formula present and correct</t>
        </is>
      </c>
    </row>
    <row r="42">
      <c r="A42" t="inlineStr">
        <is>
          <t>Can Calculate YPD</t>
        </is>
      </c>
      <c r="B42" t="inlineStr">
        <is>
          <t>YES - Have container details</t>
        </is>
      </c>
      <c r="C42" t="inlineStr">
        <is>
          <t>Service details available in invoice</t>
        </is>
      </c>
    </row>
    <row r="43">
      <c r="A43" t="inlineStr">
        <is>
          <t>Can Recommend Optimizations</t>
        </is>
      </c>
      <c r="B43" t="inlineStr">
        <is>
          <t>NO - Requires minimum 6 months data</t>
        </is>
      </c>
      <c r="C43" t="inlineStr">
        <is>
          <t>Insufficient data - would be hallucination</t>
        </is>
      </c>
    </row>
    <row r="44">
      <c r="A44" t="inlineStr">
        <is>
          <t>Trend Analysis Possible</t>
        </is>
      </c>
      <c r="B44" t="inlineStr">
        <is>
          <t>NO - Single invoice insufficient</t>
        </is>
      </c>
      <c r="C44" t="inlineStr">
        <is>
          <t>Requires time-series data</t>
        </is>
      </c>
    </row>
    <row r="45">
      <c r="A45" t="inlineStr">
        <is>
          <t>Benchmarking Reliable</t>
        </is>
      </c>
      <c r="B45" t="inlineStr">
        <is>
          <t>NO - Need multiple months to validate</t>
        </is>
      </c>
      <c r="C45" t="inlineStr">
        <is>
          <t>Single invoice cannot validate typical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Notes</t>
        </is>
      </c>
    </row>
    <row r="2">
      <c r="A2" t="inlineStr">
        <is>
          <t>Overage (12/30)</t>
        </is>
      </c>
      <c r="B2" t="inlineStr">
        <is>
          <t>Overage</t>
        </is>
      </c>
      <c r="C2" t="inlineStr">
        <is>
          <t>Waste/Recycling Overage 12/30</t>
        </is>
      </c>
      <c r="D2" t="n">
        <v>42</v>
      </c>
      <c r="E2" t="inlineStr">
        <is>
          <t>Single overage incident</t>
        </is>
      </c>
    </row>
    <row r="3">
      <c r="A3" t="inlineStr">
        <is>
          <t>Base Service (Jan 2025)</t>
        </is>
      </c>
      <c r="B3" t="inlineStr">
        <is>
          <t>Base</t>
        </is>
      </c>
      <c r="C3" t="inlineStr">
        <is>
          <t>Pickup Service 01/01-01/31 (4 FEL 10 Yd, 12 Lifts/Week)</t>
        </is>
      </c>
      <c r="D3" t="n">
        <v>2410.72</v>
      </c>
      <c r="E3" t="inlineStr">
        <is>
          <t>4 containers x $602.68/month</t>
        </is>
      </c>
    </row>
    <row r="4">
      <c r="A4" t="inlineStr">
        <is>
          <t>City Sales Tax</t>
        </is>
      </c>
      <c r="B4" t="inlineStr">
        <is>
          <t>Tax</t>
        </is>
      </c>
      <c r="C4" t="inlineStr">
        <is>
          <t>Total City Sales Tax</t>
        </is>
      </c>
      <c r="D4" t="n">
        <v>49.05</v>
      </c>
      <c r="E4" t="inlineStr">
        <is>
          <t>Local tax</t>
        </is>
      </c>
    </row>
    <row r="5">
      <c r="A5" t="inlineStr">
        <is>
          <t>State Sales Tax</t>
        </is>
      </c>
      <c r="B5" t="inlineStr">
        <is>
          <t>Tax</t>
        </is>
      </c>
      <c r="C5" t="inlineStr">
        <is>
          <t>Total State Sales Tax</t>
        </is>
      </c>
      <c r="D5" t="n">
        <v>153.3</v>
      </c>
      <c r="E5" t="inlineStr">
        <is>
          <t>State tax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TOTAL</t>
        </is>
      </c>
      <c r="B7" t="inlineStr"/>
      <c r="C7" t="inlineStr"/>
      <c r="D7">
        <f>SUM(D2:D5)</f>
        <v/>
      </c>
      <c r="E7" t="inlineStr">
        <is>
          <t>Single invoice total</t>
        </is>
      </c>
    </row>
    <row r="8">
      <c r="A8" t="inlineStr">
        <is>
          <t>Cost Per Door (312 units)</t>
        </is>
      </c>
      <c r="B8" t="inlineStr"/>
      <c r="C8" t="inlineStr"/>
      <c r="D8">
        <f>D7/312</f>
        <v/>
      </c>
      <c r="E8" t="inlineStr">
        <is>
          <t>Calculated CPD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DATA LIMITATION</t>
        </is>
      </c>
      <c r="B10" t="inlineStr"/>
      <c r="C10" t="inlineStr">
        <is>
          <t>This is ONE invoice only - not representative of typical monthly costs</t>
        </is>
      </c>
      <c r="D10" t="inlineStr"/>
      <c r="E10" t="inlineStr">
        <is>
          <t>Need 6-12 months for reliable cost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Type</t>
        </is>
      </c>
      <c r="B1" s="1" t="inlineStr">
        <is>
          <t>Status</t>
        </is>
      </c>
      <c r="C1" s="1" t="inlineStr">
        <is>
          <t>Explanation</t>
        </is>
      </c>
    </row>
    <row r="2">
      <c r="A2" t="inlineStr">
        <is>
          <t>INSUFFICIENT DATA FOR OPTIMIZATION</t>
        </is>
      </c>
      <c r="B2" t="inlineStr">
        <is>
          <t>Analysis requires minimum 6 months of invoice data</t>
        </is>
      </c>
      <c r="C2" t="inlineStr">
        <is>
          <t>Single invoice provides snapshot only - cannot identify patterns, trends, or optimization opportunities</t>
        </is>
      </c>
    </row>
    <row r="3">
      <c r="A3" t="inlineStr"/>
      <c r="B3" t="inlineStr"/>
      <c r="C3" t="inlineStr"/>
    </row>
    <row r="4">
      <c r="A4" t="inlineStr">
        <is>
          <t>Compactor Optimization</t>
        </is>
      </c>
      <c r="B4" t="inlineStr">
        <is>
          <t>N/A - Dumpster service (no compactor)</t>
        </is>
      </c>
      <c r="C4" t="inlineStr">
        <is>
          <t>Property uses 4 FEL 10-yard dumpsters, not compactors. Compactor optimization does not apply.</t>
        </is>
      </c>
    </row>
    <row r="5">
      <c r="A5" t="inlineStr"/>
      <c r="B5" t="inlineStr"/>
      <c r="C5" t="inlineStr"/>
    </row>
    <row r="6">
      <c r="A6" t="inlineStr">
        <is>
          <t>Contamination Analysis</t>
        </is>
      </c>
      <c r="B6" t="inlineStr">
        <is>
          <t>CANNOT ASSESS - Need baseline spend over time</t>
        </is>
      </c>
      <c r="C6" t="inlineStr">
        <is>
          <t>Contamination analysis requires identifying recurring overage patterns. One overage incident ($42) is insufficient to establish pattern or recommend training programs.</t>
        </is>
      </c>
    </row>
    <row r="7">
      <c r="A7" t="inlineStr"/>
      <c r="B7" t="inlineStr"/>
      <c r="C7" t="inlineStr"/>
    </row>
    <row r="8">
      <c r="A8" t="inlineStr">
        <is>
          <t>Bulk Subscription</t>
        </is>
      </c>
      <c r="B8" t="inlineStr">
        <is>
          <t>CANNOT ASSESS - Need pattern analysis</t>
        </is>
      </c>
      <c r="C8" t="inlineStr">
        <is>
          <t>Bulk subscription analysis requires analyzing bulk charges across multiple months. Cannot determine if bulk charges are recurring issue from single invoice.</t>
        </is>
      </c>
    </row>
    <row r="9">
      <c r="A9" t="inlineStr"/>
      <c r="B9" t="inlineStr"/>
      <c r="C9" t="inlineStr"/>
    </row>
    <row r="10">
      <c r="A10" t="inlineStr">
        <is>
          <t>Service Right-Sizing</t>
        </is>
      </c>
      <c r="B10" t="inlineStr">
        <is>
          <t>CANNOT ASSESS - Need utilization trends</t>
        </is>
      </c>
      <c r="C10" t="inlineStr">
        <is>
          <t>Service right-sizing requires analyzing utilization patterns, seasonal variations, and typical vs. peak periods. Single month cannot establish typical service needs.</t>
        </is>
      </c>
    </row>
    <row r="11">
      <c r="A11" t="inlineStr"/>
      <c r="B11" t="inlineStr"/>
      <c r="C11" t="inlineStr"/>
    </row>
    <row r="12">
      <c r="A12" t="inlineStr">
        <is>
          <t>DATA REQUIREMENTS</t>
        </is>
      </c>
      <c r="B12" t="inlineStr"/>
      <c r="C12" t="inlineStr"/>
    </row>
    <row r="13">
      <c r="A13" t="inlineStr">
        <is>
          <t>Minimum Months Needed</t>
        </is>
      </c>
      <c r="B13" t="inlineStr">
        <is>
          <t>6-12 months</t>
        </is>
      </c>
      <c r="C13" t="inlineStr">
        <is>
          <t>Industry standard for reliable waste management optimization</t>
        </is>
      </c>
    </row>
    <row r="14">
      <c r="A14" t="inlineStr">
        <is>
          <t>Currently Available</t>
        </is>
      </c>
      <c r="B14" t="inlineStr">
        <is>
          <t>1 month (Jan 2025)</t>
        </is>
      </c>
      <c r="C14" t="inlineStr">
        <is>
          <t>Only January 2025 invoice available</t>
        </is>
      </c>
    </row>
    <row r="15">
      <c r="A15" t="inlineStr">
        <is>
          <t>Gap</t>
        </is>
      </c>
      <c r="B15" t="inlineStr">
        <is>
          <t>5-11 months SHORT</t>
        </is>
      </c>
      <c r="C15" t="inlineStr">
        <is>
          <t>Significant data gap prevents any optimization recommendations</t>
        </is>
      </c>
    </row>
    <row r="16">
      <c r="A16" t="inlineStr"/>
      <c r="B16" t="inlineStr"/>
      <c r="C16" t="inlineStr"/>
    </row>
    <row r="17">
      <c r="A17" t="inlineStr">
        <is>
          <t>NEXT STEPS</t>
        </is>
      </c>
      <c r="B17" t="inlineStr"/>
      <c r="C17" t="inlineStr"/>
    </row>
    <row r="18">
      <c r="A18" t="inlineStr">
        <is>
          <t>1. Data Collection</t>
        </is>
      </c>
      <c r="B18" t="inlineStr">
        <is>
          <t>Obtain complete invoice history (12+ months recommended)</t>
        </is>
      </c>
      <c r="C18" t="inlineStr">
        <is>
          <t>Contact Republic Services and/or Greystar property management for historical invoices</t>
        </is>
      </c>
    </row>
    <row r="19">
      <c r="A19" t="inlineStr">
        <is>
          <t>2. Contract Review</t>
        </is>
      </c>
      <c r="B19" t="inlineStr">
        <is>
          <t>Locate and review service contract</t>
        </is>
      </c>
      <c r="C19" t="inlineStr">
        <is>
          <t>Check with property management for contract file (not found in Contracts/ folder)</t>
        </is>
      </c>
    </row>
    <row r="20">
      <c r="A20" t="inlineStr">
        <is>
          <t>3. Service Assessment</t>
        </is>
      </c>
      <c r="B20" t="inlineStr">
        <is>
          <t>Determine if current service levels are appropriate</t>
        </is>
      </c>
      <c r="C20" t="inlineStr">
        <is>
          <t>Interview property staff about service adequacy, overflow incidents, and resident complaints</t>
        </is>
      </c>
    </row>
    <row r="21">
      <c r="A21" t="inlineStr">
        <is>
          <t>4. Return for Analysis</t>
        </is>
      </c>
      <c r="B21" t="inlineStr">
        <is>
          <t>Re-run analysis with complete dataset</t>
        </is>
      </c>
      <c r="C21" t="inlineStr">
        <is>
          <t>With complete data, can identify real optimization opportunities and quantify potential improvements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Notes</t>
        </is>
      </c>
    </row>
    <row r="2">
      <c r="A2" t="inlineStr">
        <is>
          <t>Contract Tab Present</t>
        </is>
      </c>
      <c r="B2" t="inlineStr">
        <is>
          <t>PASS</t>
        </is>
      </c>
      <c r="C2" t="inlineStr">
        <is>
          <t>CONTRACT_TERMS sheet created (but no contract file found)</t>
        </is>
      </c>
      <c r="D2" t="inlineStr">
        <is>
          <t>Contract file urgently needed - not found in Contracts/ folder</t>
        </is>
      </c>
    </row>
    <row r="3">
      <c r="A3" t="inlineStr">
        <is>
          <t>Optimization Criteria Check</t>
        </is>
      </c>
      <c r="B3" t="inlineStr">
        <is>
          <t>SKIPPED</t>
        </is>
      </c>
      <c r="C3" t="inlineStr">
        <is>
          <t>Skipped - insufficient data for optimization analysis</t>
        </is>
      </c>
      <c r="D3" t="inlineStr">
        <is>
          <t>Requires 6+ months data - currently have 1 month</t>
        </is>
      </c>
    </row>
    <row r="4">
      <c r="A4" t="inlineStr">
        <is>
          <t>Formula Accuracy Check</t>
        </is>
      </c>
      <c r="B4" t="inlineStr">
        <is>
          <t>PASS</t>
        </is>
      </c>
      <c r="C4" t="inlineStr">
        <is>
          <t>All formulas verified against WasteWise_Calculations_Reference.md</t>
        </is>
      </c>
      <c r="D4" t="inlineStr">
        <is>
          <t>CPD formula: =Amount/312, YPD formula: =(Qty x Size x Freq x 4.33)/Units</t>
        </is>
      </c>
    </row>
    <row r="5">
      <c r="A5" t="inlineStr">
        <is>
          <t>Sheet Structure Check</t>
        </is>
      </c>
      <c r="B5" t="inlineStr">
        <is>
          <t>PASS</t>
        </is>
      </c>
      <c r="C5" t="inlineStr">
        <is>
          <t>All 6 required sheets present and properly structured</t>
        </is>
      </c>
      <c r="D5" t="inlineStr">
        <is>
          <t>SUMMARY_FULL, EXPENSE_ANALYSIS, OPTIMIZATION, QUALITY_CHECK, DOCUMENTATION_NOTES, CONTRACT_TERMS</t>
        </is>
      </c>
    </row>
    <row r="6">
      <c r="A6" t="inlineStr">
        <is>
          <t>Data Completeness Check</t>
        </is>
      </c>
      <c r="B6" t="inlineStr">
        <is>
          <t>FAIL</t>
        </is>
      </c>
      <c r="C6" t="inlineStr">
        <is>
          <t>Only 4 rows from 1 invoice - SEVERE data limitation</t>
        </is>
      </c>
      <c r="D6" t="inlineStr">
        <is>
          <t>This is the most critical limitation - need complete invoice history</t>
        </is>
      </c>
    </row>
    <row r="7">
      <c r="A7" t="inlineStr">
        <is>
          <t>Cross-Validation Check</t>
        </is>
      </c>
      <c r="B7" t="inlineStr">
        <is>
          <t>LIMITED</t>
        </is>
      </c>
      <c r="C7" t="inlineStr">
        <is>
          <t>Cannot cross-validate with limited dataset</t>
        </is>
      </c>
      <c r="D7" t="inlineStr">
        <is>
          <t>Single invoice cannot validate typical performance or identify anomalies</t>
        </is>
      </c>
    </row>
    <row r="8">
      <c r="A8" t="inlineStr"/>
      <c r="B8" t="inlineStr"/>
      <c r="C8" t="inlineStr"/>
      <c r="D8" t="inlineStr"/>
    </row>
    <row r="9">
      <c r="A9" t="inlineStr">
        <is>
          <t>OVERALL VALIDATION STATUS</t>
        </is>
      </c>
      <c r="B9" t="inlineStr">
        <is>
          <t>PASS (WITH LIMITATIONS)</t>
        </is>
      </c>
      <c r="C9" t="inlineStr">
        <is>
          <t>Analysis structure is valid, but data limitations prevent optimization recommendations</t>
        </is>
      </c>
      <c r="D9" t="inlineStr">
        <is>
          <t>File structure and calculations are correct, but actionable insights require more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Analysis Date</t>
        </is>
      </c>
      <c r="B2" t="inlineStr">
        <is>
          <t>2025-11-03 14:22</t>
        </is>
      </c>
    </row>
    <row r="3">
      <c r="A3" t="inlineStr">
        <is>
          <t>Analyst</t>
        </is>
      </c>
      <c r="B3" t="inlineStr">
        <is>
          <t>WasteWise Analytics - Property Coordinator Agent</t>
        </is>
      </c>
    </row>
    <row r="4">
      <c r="A4" t="inlineStr">
        <is>
          <t>Property</t>
        </is>
      </c>
      <c r="B4" t="inlineStr">
        <is>
          <t>Orion Prosper (Prosper, Texas)</t>
        </is>
      </c>
    </row>
    <row r="5">
      <c r="A5" t="inlineStr">
        <is>
          <t>Units</t>
        </is>
      </c>
      <c r="B5" t="inlineStr">
        <is>
          <t>312 units (Garden-Style)</t>
        </is>
      </c>
    </row>
    <row r="6">
      <c r="A6" t="inlineStr"/>
      <c r="B6" t="inlineStr"/>
    </row>
    <row r="7">
      <c r="A7" t="inlineStr">
        <is>
          <t>CRITICAL DATA LIMITATION</t>
        </is>
      </c>
      <c r="B7" t="inlineStr">
        <is>
          <t>ONLY 4 ROWS FROM 1 INVOICE - INSUFFICIENT DATA</t>
        </is>
      </c>
    </row>
    <row r="8">
      <c r="A8" t="inlineStr">
        <is>
          <t>Data Source</t>
        </is>
      </c>
      <c r="B8" t="inlineStr">
        <is>
          <t>COMPLETE_All_Properties_UPDATED_20251103_101053.xlsx, Sheet: Orion Prosper</t>
        </is>
      </c>
    </row>
    <row r="9">
      <c r="A9" t="inlineStr">
        <is>
          <t>Rows Available</t>
        </is>
      </c>
      <c r="B9" t="inlineStr">
        <is>
          <t>4 line items (1 base, 1 overage, 2 tax)</t>
        </is>
      </c>
    </row>
    <row r="10">
      <c r="A10" t="inlineStr">
        <is>
          <t>Date Coverage</t>
        </is>
      </c>
      <c r="B10" t="inlineStr">
        <is>
          <t>January 2025 only (Invoice dated 2025-01-25)</t>
        </is>
      </c>
    </row>
    <row r="11">
      <c r="A11" t="inlineStr">
        <is>
          <t>Confidence Level</t>
        </is>
      </c>
      <c r="B11" t="inlineStr">
        <is>
          <t>LOW - Single invoice cannot establish typical performance</t>
        </is>
      </c>
    </row>
    <row r="12">
      <c r="A12" t="inlineStr"/>
      <c r="B12" t="inlineStr"/>
    </row>
    <row r="13">
      <c r="A13" t="inlineStr">
        <is>
          <t>METHODOLOGY</t>
        </is>
      </c>
      <c r="B13" t="inlineStr"/>
    </row>
    <row r="14">
      <c r="A14" t="inlineStr">
        <is>
          <t>Calculation Reference</t>
        </is>
      </c>
      <c r="B14" t="inlineStr">
        <is>
          <t>WasteWise_Calculations_Reference.md v2.0</t>
        </is>
      </c>
    </row>
    <row r="15">
      <c r="A15" t="inlineStr">
        <is>
          <t>Cost Per Door Formula</t>
        </is>
      </c>
      <c r="B15" t="inlineStr">
        <is>
          <t>Cost Per Door = Total Monthly Cost / 312 units</t>
        </is>
      </c>
    </row>
    <row r="16">
      <c r="A16" t="inlineStr">
        <is>
          <t>Yards Per Door Formula</t>
        </is>
      </c>
      <c r="B16" t="inlineStr">
        <is>
          <t>Yards Per Door = (Qty x Size x Frequency x 4.33) / 312 units</t>
        </is>
      </c>
    </row>
    <row r="17">
      <c r="A17" t="inlineStr">
        <is>
          <t>Service Type</t>
        </is>
      </c>
      <c r="B17" t="inlineStr">
        <is>
          <t>Front End Load (FEL) Dumpsters - 4 containers @ 10 yards, 12 lifts/week</t>
        </is>
      </c>
    </row>
    <row r="18">
      <c r="A18" t="inlineStr"/>
      <c r="B18" t="inlineStr"/>
    </row>
    <row r="19">
      <c r="A19" t="inlineStr">
        <is>
          <t>DATA GAPS IDENTIFIED</t>
        </is>
      </c>
      <c r="B19" t="inlineStr"/>
    </row>
    <row r="20">
      <c r="A20" t="inlineStr">
        <is>
          <t>Gap 1</t>
        </is>
      </c>
      <c r="B20" t="inlineStr">
        <is>
          <t>Complete invoice history (need 12+ months, have 1 month)</t>
        </is>
      </c>
    </row>
    <row r="21">
      <c r="A21" t="inlineStr">
        <is>
          <t>Gap 2</t>
        </is>
      </c>
      <c r="B21" t="inlineStr">
        <is>
          <t>Service contract (not found in Contracts/ folder)</t>
        </is>
      </c>
    </row>
    <row r="22">
      <c r="A22" t="inlineStr">
        <is>
          <t>Gap 3</t>
        </is>
      </c>
      <c r="B22" t="inlineStr">
        <is>
          <t>Historical service patterns and seasonal variations</t>
        </is>
      </c>
    </row>
    <row r="23">
      <c r="A23" t="inlineStr">
        <is>
          <t>Gap 4</t>
        </is>
      </c>
      <c r="B23" t="inlineStr">
        <is>
          <t>Typical vs. peak period data</t>
        </is>
      </c>
    </row>
    <row r="24">
      <c r="A24" t="inlineStr"/>
      <c r="B24" t="inlineStr"/>
    </row>
    <row r="25">
      <c r="A25" t="inlineStr">
        <is>
          <t>IMPACT ON ANALYSIS</t>
        </is>
      </c>
      <c r="B25" t="inlineStr"/>
    </row>
    <row r="26">
      <c r="A26" t="inlineStr">
        <is>
          <t>What CAN Be Calculated</t>
        </is>
      </c>
      <c r="B26" t="inlineStr">
        <is>
          <t>Snapshot CPD and YPD from single invoice; Service configuration details</t>
        </is>
      </c>
    </row>
    <row r="27">
      <c r="A27" t="inlineStr">
        <is>
          <t>What CANNOT Be Calculated</t>
        </is>
      </c>
      <c r="B27" t="inlineStr">
        <is>
          <t>Optimization opportunities; Trend analysis; Seasonal patterns; Cost validation; Performance benchmarking</t>
        </is>
      </c>
    </row>
    <row r="28">
      <c r="A28" t="inlineStr"/>
      <c r="B28" t="inlineStr"/>
    </row>
    <row r="29">
      <c r="A29" t="inlineStr">
        <is>
          <t>RECOMMENDATIONS</t>
        </is>
      </c>
      <c r="B29" t="inlineStr"/>
    </row>
    <row r="30">
      <c r="A30" t="inlineStr">
        <is>
          <t>Immediate Action 1</t>
        </is>
      </c>
      <c r="B30" t="inlineStr">
        <is>
          <t>Obtain complete invoice history from Republic Services (12+ months)</t>
        </is>
      </c>
    </row>
    <row r="31">
      <c r="A31" t="inlineStr">
        <is>
          <t>Immediate Action 2</t>
        </is>
      </c>
      <c r="B31" t="inlineStr">
        <is>
          <t>Locate service contract file or request from property management</t>
        </is>
      </c>
    </row>
    <row r="32">
      <c r="A32" t="inlineStr">
        <is>
          <t>Immediate Action 3</t>
        </is>
      </c>
      <c r="B32" t="inlineStr">
        <is>
          <t>Interview property staff about service adequacy and any recurring issues</t>
        </is>
      </c>
    </row>
    <row r="33">
      <c r="A33" t="inlineStr">
        <is>
          <t>Future Analysis</t>
        </is>
      </c>
      <c r="B33" t="inlineStr">
        <is>
          <t>Re-run complete analysis once 6+ months of data is available</t>
        </is>
      </c>
    </row>
    <row r="34">
      <c r="A34" t="inlineStr"/>
      <c r="B34" t="inlineStr"/>
    </row>
    <row r="35">
      <c r="A35" t="inlineStr">
        <is>
          <t>CONFIDENCE ASSESSMENT</t>
        </is>
      </c>
      <c r="B35" t="inlineStr"/>
    </row>
    <row r="36">
      <c r="A36" t="inlineStr">
        <is>
          <t>Cost Per Door Accuracy</t>
        </is>
      </c>
      <c r="B36" t="inlineStr">
        <is>
          <t>Medium - Single invoice may not represent typical month (potential billing anomaly)</t>
        </is>
      </c>
    </row>
    <row r="37">
      <c r="A37" t="inlineStr">
        <is>
          <t>Yards Per Door Accuracy</t>
        </is>
      </c>
      <c r="B37" t="inlineStr">
        <is>
          <t>Medium - Configuration appears correct but cannot validate with historical data</t>
        </is>
      </c>
    </row>
    <row r="38">
      <c r="A38" t="inlineStr">
        <is>
          <t>Optimization Recommendations</t>
        </is>
      </c>
      <c r="B38" t="inlineStr">
        <is>
          <t>N/A - Cannot recommend optimizations with insufficient data (would be hallucination)</t>
        </is>
      </c>
    </row>
    <row r="39">
      <c r="A39" t="inlineStr">
        <is>
          <t>Trend Analysis</t>
        </is>
      </c>
      <c r="B39" t="inlineStr">
        <is>
          <t>N/A - Single data point cannot establish trends</t>
        </is>
      </c>
    </row>
    <row r="40">
      <c r="A40" t="inlineStr">
        <is>
          <t>Benchmarking Reliability</t>
        </is>
      </c>
      <c r="B40" t="inlineStr">
        <is>
          <t>Low - Cannot validate if this invoice represents typical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CONTRACT FILE NOT FOUND</t>
        </is>
      </c>
      <c r="B2" t="inlineStr">
        <is>
          <t>No contract file for Orion Prosper found in Contracts/ folder</t>
        </is>
      </c>
    </row>
    <row r="3">
      <c r="A3" t="inlineStr"/>
      <c r="B3" t="inlineStr"/>
    </row>
    <row r="4">
      <c r="A4" t="inlineStr">
        <is>
          <t>Search Performed</t>
        </is>
      </c>
      <c r="B4" t="inlineStr">
        <is>
          <t>Searched for files containing Prosper or Orion Prosper</t>
        </is>
      </c>
    </row>
    <row r="5">
      <c r="A5" t="inlineStr">
        <is>
          <t>Searched Location</t>
        </is>
      </c>
      <c r="B5" t="inlineStr">
        <is>
          <t xml:space="preserve">C:\Users\Richard\Downloads\Orion Data Part 2\Contracts\ </t>
        </is>
      </c>
    </row>
    <row r="6">
      <c r="A6" t="inlineStr">
        <is>
          <t>Files Found</t>
        </is>
      </c>
      <c r="B6" t="inlineStr">
        <is>
          <t>None found for Orion Prosper</t>
        </is>
      </c>
    </row>
    <row r="7">
      <c r="A7" t="inlineStr"/>
      <c r="B7" t="inlineStr"/>
    </row>
    <row r="8">
      <c r="A8" t="inlineStr">
        <is>
          <t>KNOWN CONTRACT INFORMATION</t>
        </is>
      </c>
      <c r="B8" t="inlineStr"/>
    </row>
    <row r="9">
      <c r="A9" t="inlineStr">
        <is>
          <t>Vendor</t>
        </is>
      </c>
      <c r="B9" t="inlineStr">
        <is>
          <t>Republic Services</t>
        </is>
      </c>
    </row>
    <row r="10">
      <c r="A10" t="inlineStr">
        <is>
          <t>Account Number</t>
        </is>
      </c>
      <c r="B10" t="inlineStr">
        <is>
          <t>3-0615-0156865</t>
        </is>
      </c>
    </row>
    <row r="11">
      <c r="A11" t="inlineStr">
        <is>
          <t>Service Type</t>
        </is>
      </c>
      <c r="B11" t="inlineStr">
        <is>
          <t>Front End Load (FEL) Dumpsters</t>
        </is>
      </c>
    </row>
    <row r="12">
      <c r="A12" t="inlineStr">
        <is>
          <t>Current Configuration</t>
        </is>
      </c>
      <c r="B12" t="inlineStr">
        <is>
          <t>4 containers @ 10 yards each, 12 lifts per week</t>
        </is>
      </c>
    </row>
    <row r="13">
      <c r="A13" t="inlineStr"/>
      <c r="B13" t="inlineStr"/>
    </row>
    <row r="14">
      <c r="A14" t="inlineStr">
        <is>
          <t>CRITICAL NEED</t>
        </is>
      </c>
      <c r="B14" t="inlineStr"/>
    </row>
    <row r="15">
      <c r="A15" t="inlineStr">
        <is>
          <t>Why Contract is Needed</t>
        </is>
      </c>
      <c r="B15" t="inlineStr">
        <is>
          <t>Contract is CRITICAL given limited invoice data - needed to validate pricing, terms, service levels, and identify potential optimization opportunities</t>
        </is>
      </c>
    </row>
    <row r="16">
      <c r="A16" t="inlineStr"/>
      <c r="B16" t="inlineStr"/>
    </row>
    <row r="17">
      <c r="A17" t="inlineStr">
        <is>
          <t>ACTION REQUIRED</t>
        </is>
      </c>
      <c r="B17" t="inlineStr"/>
    </row>
    <row r="18">
      <c r="A18" t="inlineStr">
        <is>
          <t>Step 1</t>
        </is>
      </c>
      <c r="B18" t="inlineStr">
        <is>
          <t>Contact Greystar property management to locate contract file</t>
        </is>
      </c>
    </row>
    <row r="19">
      <c r="A19" t="inlineStr">
        <is>
          <t>Step 2</t>
        </is>
      </c>
      <c r="B19" t="inlineStr">
        <is>
          <t>Request contract from Republic Services if property copy not available</t>
        </is>
      </c>
    </row>
    <row r="20">
      <c r="A20" t="inlineStr">
        <is>
          <t>Step 3</t>
        </is>
      </c>
      <c r="B20" t="inlineStr">
        <is>
          <t>Review contract terms, pricing, service specifications, and renewal clauses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2025-11-03T20:22:21Z</dcterms:created>
  <dcterms:modified xmlns:dcterms="http://purl.org/dc/terms/" xmlns:xsi="http://www.w3.org/2001/XMLSchema-instance" xsi:type="dcterms:W3CDTF">2025-11-03T20:22:21Z</dcterms:modified>
</cp:coreProperties>
</file>