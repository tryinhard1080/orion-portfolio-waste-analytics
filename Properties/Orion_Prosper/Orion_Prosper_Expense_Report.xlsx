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nthly Expense Detail" sheetId="2" state="visible" r:id="rId2"/>
    <sheet xmlns:r="http://schemas.openxmlformats.org/officeDocument/2006/relationships" name="Budget Projection" sheetId="3" state="visible" r:id="rId3"/>
    <sheet xmlns:r="http://schemas.openxmlformats.org/officeDocument/2006/relationships" name="Service Details" sheetId="4" state="visible" r:id="rId4"/>
    <sheet xmlns:r="http://schemas.openxmlformats.org/officeDocument/2006/relationships" name="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0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color rgb="00FFFFFF"/>
      <sz val="14"/>
    </font>
    <font>
      <b val="1"/>
    </font>
    <font>
      <b val="1"/>
      <color rgb="00C00000"/>
    </font>
    <font>
      <b val="1"/>
      <color rgb="00FFFFFF"/>
    </font>
    <font>
      <b val="1"/>
      <sz val="14"/>
    </font>
    <font>
      <b val="1"/>
      <sz val="12"/>
    </font>
    <font>
      <b val="1"/>
      <color rgb="0000B05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164" fontId="4" fillId="0" borderId="0" pivotButton="0" quotePrefix="0" xfId="0"/>
    <xf numFmtId="0" fontId="7" fillId="0" borderId="0" pivotButton="0" quotePrefix="0" xfId="0"/>
    <xf numFmtId="0" fontId="6" fillId="2" borderId="0" pivotButton="0" quotePrefix="0" xfId="0"/>
    <xf numFmtId="164" fontId="4" fillId="4" borderId="0" pivotButton="0" quotePrefix="0" xfId="0"/>
    <xf numFmtId="165" fontId="0" fillId="5" borderId="0" pivotButton="0" quotePrefix="0" xfId="0"/>
    <xf numFmtId="165" fontId="0" fillId="0" borderId="0" pivotButton="0" quotePrefix="0" xfId="0"/>
    <xf numFmtId="165" fontId="0" fillId="6" borderId="0" pivotButton="0" quotePrefix="0" xfId="0"/>
    <xf numFmtId="0" fontId="8" fillId="3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Orion Prosper - Expense Analysis</t>
        </is>
      </c>
    </row>
    <row r="2">
      <c r="A2" s="2" t="inlineStr">
        <is>
          <t>Generated: November 13, 2025 at 07:27 AM</t>
        </is>
      </c>
    </row>
    <row r="4">
      <c r="A4" s="3" t="inlineStr">
        <is>
          <t>PROPERTY INFORMATION</t>
        </is>
      </c>
    </row>
    <row r="5">
      <c r="A5" s="4" t="inlineStr">
        <is>
          <t>Property Name:</t>
        </is>
      </c>
      <c r="B5" t="inlineStr">
        <is>
          <t>Orion Prosper</t>
        </is>
      </c>
    </row>
    <row r="6">
      <c r="A6" s="4" t="inlineStr">
        <is>
          <t>Units:</t>
        </is>
      </c>
      <c r="B6" t="n">
        <v>312</v>
      </c>
    </row>
    <row r="7">
      <c r="A7" s="4" t="inlineStr">
        <is>
          <t>State:</t>
        </is>
      </c>
      <c r="B7" t="inlineStr">
        <is>
          <t>TX</t>
        </is>
      </c>
    </row>
    <row r="8">
      <c r="A8" s="4" t="inlineStr">
        <is>
          <t>Service Type:</t>
        </is>
      </c>
      <c r="B8" t="inlineStr">
        <is>
          <t>Compactor</t>
        </is>
      </c>
    </row>
    <row r="9">
      <c r="A9" s="4" t="inlineStr">
        <is>
          <t>Data Pattern:</t>
        </is>
      </c>
      <c r="B9" t="inlineStr">
        <is>
          <t>A</t>
        </is>
      </c>
    </row>
    <row r="11">
      <c r="A11" s="3" t="inlineStr">
        <is>
          <t>FINANCIAL SUMMARY</t>
        </is>
      </c>
    </row>
    <row r="12">
      <c r="A12" s="5" t="inlineStr">
        <is>
          <t>Metric</t>
        </is>
      </c>
      <c r="B12" s="5" t="inlineStr">
        <is>
          <t>Value</t>
        </is>
      </c>
      <c r="C12" s="5" t="inlineStr">
        <is>
          <t>Per Unit</t>
        </is>
      </c>
      <c r="D12" s="5" t="inlineStr">
        <is>
          <t>Notes</t>
        </is>
      </c>
    </row>
    <row r="13">
      <c r="A13" t="inlineStr">
        <is>
          <t>Total Spend</t>
        </is>
      </c>
      <c r="B13" t="inlineStr">
        <is>
          <t>$30,200.56</t>
        </is>
      </c>
      <c r="C13" t="inlineStr">
        <is>
          <t>$96.80</t>
        </is>
      </c>
      <c r="D13" t="inlineStr">
        <is>
          <t>8 months</t>
        </is>
      </c>
    </row>
    <row r="14">
      <c r="A14" t="inlineStr">
        <is>
          <t>Average Monthly</t>
        </is>
      </c>
      <c r="B14" t="inlineStr">
        <is>
          <t>$3,775.07</t>
        </is>
      </c>
      <c r="C14" t="inlineStr">
        <is>
          <t>$12.10</t>
        </is>
      </c>
      <c r="D14" t="inlineStr">
        <is>
          <t>Per unit per month</t>
        </is>
      </c>
    </row>
    <row r="15">
      <c r="A15" t="inlineStr">
        <is>
          <t>Highest Month</t>
        </is>
      </c>
      <c r="B15" t="inlineStr">
        <is>
          <t>$4,535.15</t>
        </is>
      </c>
      <c r="C15" t="inlineStr">
        <is>
          <t>$14.54</t>
        </is>
      </c>
      <c r="D15" t="inlineStr">
        <is>
          <t>2025-03</t>
        </is>
      </c>
    </row>
    <row r="16">
      <c r="A16" t="inlineStr">
        <is>
          <t>Lowest Month</t>
        </is>
      </c>
      <c r="B16" t="inlineStr">
        <is>
          <t>$-318.29</t>
        </is>
      </c>
      <c r="C16" t="inlineStr">
        <is>
          <t>$-1.02</t>
        </is>
      </c>
      <c r="D16" t="inlineStr">
        <is>
          <t>2025-01</t>
        </is>
      </c>
    </row>
    <row r="18">
      <c r="A18" s="3" t="inlineStr">
        <is>
          <t>ANOMALIES DETECTED</t>
        </is>
      </c>
    </row>
    <row r="19">
      <c r="A19" s="6" t="inlineStr">
        <is>
          <t>7 months flagged for review</t>
        </is>
      </c>
    </row>
    <row r="20">
      <c r="A20" t="inlineStr">
        <is>
          <t>2025-02</t>
        </is>
      </c>
      <c r="B20" t="inlineStr">
        <is>
          <t>$4,346.35</t>
        </is>
      </c>
      <c r="C20" t="inlineStr">
        <is>
          <t>Cost decreased 1465.5% from prior month; Overage charges present</t>
        </is>
      </c>
    </row>
    <row r="21">
      <c r="A21" t="inlineStr">
        <is>
          <t>2025-03</t>
        </is>
      </c>
      <c r="B21" t="inlineStr">
        <is>
          <t>$4,535.15</t>
        </is>
      </c>
      <c r="C21" t="inlineStr">
        <is>
          <t>Overage charges present</t>
        </is>
      </c>
    </row>
    <row r="22">
      <c r="A22" t="inlineStr">
        <is>
          <t>2025-04</t>
        </is>
      </c>
      <c r="B22" t="inlineStr">
        <is>
          <t>$4,251.95</t>
        </is>
      </c>
      <c r="C22" t="inlineStr">
        <is>
          <t>Overage charges present</t>
        </is>
      </c>
    </row>
    <row r="23">
      <c r="A23" t="inlineStr">
        <is>
          <t>2025-05</t>
        </is>
      </c>
      <c r="B23" t="inlineStr">
        <is>
          <t>$4,251.95</t>
        </is>
      </c>
      <c r="C23" t="inlineStr">
        <is>
          <t>Overage charges present</t>
        </is>
      </c>
    </row>
    <row r="24">
      <c r="A24" t="inlineStr">
        <is>
          <t>2025-06</t>
        </is>
      </c>
      <c r="B24" t="inlineStr">
        <is>
          <t>$4,299.15</t>
        </is>
      </c>
      <c r="C24" t="inlineStr">
        <is>
          <t>Overage charges present</t>
        </is>
      </c>
    </row>
    <row r="25">
      <c r="A25" t="inlineStr">
        <is>
          <t>2025-07</t>
        </is>
      </c>
      <c r="B25" t="inlineStr">
        <is>
          <t>$4,393.55</t>
        </is>
      </c>
      <c r="C25" t="inlineStr">
        <is>
          <t>Overage charges present</t>
        </is>
      </c>
    </row>
    <row r="26">
      <c r="A26" t="inlineStr">
        <is>
          <t>2025-08</t>
        </is>
      </c>
      <c r="B26" t="inlineStr">
        <is>
          <t>$4,440.75</t>
        </is>
      </c>
      <c r="C26" t="inlineStr">
        <is>
          <t>Overage charges present</t>
        </is>
      </c>
    </row>
  </sheetData>
  <mergeCells count="12">
    <mergeCell ref="A4:B4"/>
    <mergeCell ref="A1:D1"/>
    <mergeCell ref="C20:D20"/>
    <mergeCell ref="A18:D18"/>
    <mergeCell ref="C21:D21"/>
    <mergeCell ref="C24:D24"/>
    <mergeCell ref="C25:D25"/>
    <mergeCell ref="C26:D26"/>
    <mergeCell ref="C22:D22"/>
    <mergeCell ref="A2:D2"/>
    <mergeCell ref="A11:D11"/>
    <mergeCell ref="C23:D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7" t="inlineStr">
        <is>
          <t>Month</t>
        </is>
      </c>
      <c r="B1" s="7" t="inlineStr">
        <is>
          <t>Invoice Number(s)</t>
        </is>
      </c>
      <c r="C1" s="7" t="inlineStr">
        <is>
          <t>Invoice Date</t>
        </is>
      </c>
      <c r="D1" s="7" t="inlineStr">
        <is>
          <t>Vendor</t>
        </is>
      </c>
      <c r="E1" s="7" t="inlineStr">
        <is>
          <t>Amount</t>
        </is>
      </c>
      <c r="F1" s="7" t="inlineStr">
        <is>
          <t>Cost Per Door</t>
        </is>
      </c>
      <c r="G1" s="7" t="inlineStr">
        <is>
          <t>YTD Total</t>
        </is>
      </c>
      <c r="H1" s="7" t="inlineStr">
        <is>
          <t>YTD Avg CPD</t>
        </is>
      </c>
      <c r="I1" s="7" t="inlineStr">
        <is>
          <t>Notes/Flags</t>
        </is>
      </c>
    </row>
    <row r="2">
      <c r="A2" t="inlineStr">
        <is>
          <t>2025-01</t>
        </is>
      </c>
      <c r="B2" t="inlineStr">
        <is>
          <t>0615-002262594, 0615-002262607</t>
        </is>
      </c>
      <c r="C2" t="inlineStr">
        <is>
          <t>2025-01-25</t>
        </is>
      </c>
      <c r="D2" t="inlineStr">
        <is>
          <t>Republic Services</t>
        </is>
      </c>
      <c r="E2" s="8" t="n">
        <v>-318.2900000000004</v>
      </c>
      <c r="F2" s="8" t="n">
        <v>-1.020160256410258</v>
      </c>
      <c r="G2" s="8" t="n">
        <v>-318.2900000000004</v>
      </c>
      <c r="H2" s="8" t="n">
        <v>-318.2900000000004</v>
      </c>
      <c r="I2" t="inlineStr"/>
    </row>
    <row r="3">
      <c r="A3" s="9" t="inlineStr">
        <is>
          <t>2025-02</t>
        </is>
      </c>
      <c r="B3" s="9" t="inlineStr">
        <is>
          <t>0615-002287922, 0615-002287935</t>
        </is>
      </c>
      <c r="C3" s="9" t="inlineStr">
        <is>
          <t>2025-02-25</t>
        </is>
      </c>
      <c r="D3" s="9" t="inlineStr">
        <is>
          <t>Republic Services</t>
        </is>
      </c>
      <c r="E3" s="10" t="n">
        <v>4346.35</v>
      </c>
      <c r="F3" s="10" t="n">
        <v>13.93060897435898</v>
      </c>
      <c r="G3" s="10" t="n">
        <v>4028.06</v>
      </c>
      <c r="H3" s="10" t="n">
        <v>2014.03</v>
      </c>
      <c r="I3" s="9" t="inlineStr">
        <is>
          <t>Cost decreased 1465.5% from prior month; Overage charges present</t>
        </is>
      </c>
    </row>
    <row r="4">
      <c r="A4" s="9" t="inlineStr">
        <is>
          <t>2025-03</t>
        </is>
      </c>
      <c r="B4" s="9" t="inlineStr">
        <is>
          <t>0615-002312987, 0615-002313000</t>
        </is>
      </c>
      <c r="C4" s="9" t="inlineStr">
        <is>
          <t>2025-03-25</t>
        </is>
      </c>
      <c r="D4" s="9" t="inlineStr">
        <is>
          <t>Republic Services</t>
        </is>
      </c>
      <c r="E4" s="10" t="n">
        <v>4535.150000000001</v>
      </c>
      <c r="F4" s="10" t="n">
        <v>14.53573717948718</v>
      </c>
      <c r="G4" s="10" t="n">
        <v>8563.210000000001</v>
      </c>
      <c r="H4" s="10" t="n">
        <v>2854.403333333334</v>
      </c>
      <c r="I4" s="9" t="inlineStr">
        <is>
          <t>Overage charges present</t>
        </is>
      </c>
    </row>
    <row r="5">
      <c r="A5" s="9" t="inlineStr">
        <is>
          <t>2025-04</t>
        </is>
      </c>
      <c r="B5" s="9" t="inlineStr">
        <is>
          <t>0615-002347985, 0615-002347998</t>
        </is>
      </c>
      <c r="C5" s="9" t="inlineStr">
        <is>
          <t>2025-04-25</t>
        </is>
      </c>
      <c r="D5" s="9" t="inlineStr">
        <is>
          <t>Republic Services</t>
        </is>
      </c>
      <c r="E5" s="10" t="n">
        <v>4251.950000000001</v>
      </c>
      <c r="F5" s="10" t="n">
        <v>13.62804487179487</v>
      </c>
      <c r="G5" s="10" t="n">
        <v>12815.16</v>
      </c>
      <c r="H5" s="10" t="n">
        <v>3203.79</v>
      </c>
      <c r="I5" s="9" t="inlineStr">
        <is>
          <t>Overage charges present</t>
        </is>
      </c>
    </row>
    <row r="6">
      <c r="A6" s="9" t="inlineStr">
        <is>
          <t>2025-05</t>
        </is>
      </c>
      <c r="B6" s="9" t="inlineStr">
        <is>
          <t>0615-002372761, 0615-002372774</t>
        </is>
      </c>
      <c r="C6" s="9" t="inlineStr">
        <is>
          <t>2025-05-25</t>
        </is>
      </c>
      <c r="D6" s="9" t="inlineStr">
        <is>
          <t>Republic Services</t>
        </is>
      </c>
      <c r="E6" s="10" t="n">
        <v>4251.950000000001</v>
      </c>
      <c r="F6" s="10" t="n">
        <v>13.62804487179487</v>
      </c>
      <c r="G6" s="10" t="n">
        <v>17067.11</v>
      </c>
      <c r="H6" s="10" t="n">
        <v>3413.422</v>
      </c>
      <c r="I6" s="9" t="inlineStr">
        <is>
          <t>Overage charges present</t>
        </is>
      </c>
    </row>
    <row r="7">
      <c r="A7" s="9" t="inlineStr">
        <is>
          <t>2025-06</t>
        </is>
      </c>
      <c r="B7" s="9" t="inlineStr">
        <is>
          <t>0615-002398304, 0615-002398318</t>
        </is>
      </c>
      <c r="C7" s="9" t="inlineStr">
        <is>
          <t>2025-06-25</t>
        </is>
      </c>
      <c r="D7" s="9" t="inlineStr">
        <is>
          <t>Republic Services</t>
        </is>
      </c>
      <c r="E7" s="10" t="n">
        <v>4299.15</v>
      </c>
      <c r="F7" s="10" t="n">
        <v>13.77932692307692</v>
      </c>
      <c r="G7" s="10" t="n">
        <v>21366.26</v>
      </c>
      <c r="H7" s="10" t="n">
        <v>3561.043333333333</v>
      </c>
      <c r="I7" s="9" t="inlineStr">
        <is>
          <t>Overage charges present</t>
        </is>
      </c>
    </row>
    <row r="8">
      <c r="A8" s="9" t="inlineStr">
        <is>
          <t>2025-07</t>
        </is>
      </c>
      <c r="B8" s="9" t="inlineStr">
        <is>
          <t>0615-002432968, 0615-002432981</t>
        </is>
      </c>
      <c r="C8" s="9" t="inlineStr">
        <is>
          <t>2025-07-25</t>
        </is>
      </c>
      <c r="D8" s="9" t="inlineStr">
        <is>
          <t>Republic Services</t>
        </is>
      </c>
      <c r="E8" s="10" t="n">
        <v>4393.55</v>
      </c>
      <c r="F8" s="10" t="n">
        <v>14.08189102564103</v>
      </c>
      <c r="G8" s="10" t="n">
        <v>25759.81</v>
      </c>
      <c r="H8" s="10" t="n">
        <v>3679.972857142857</v>
      </c>
      <c r="I8" s="9" t="inlineStr">
        <is>
          <t>Overage charges present</t>
        </is>
      </c>
    </row>
    <row r="9">
      <c r="A9" s="9" t="inlineStr">
        <is>
          <t>2025-08</t>
        </is>
      </c>
      <c r="B9" s="9" t="inlineStr">
        <is>
          <t>0615-002458606, 0615-002458619</t>
        </is>
      </c>
      <c r="C9" s="9" t="inlineStr">
        <is>
          <t>2025-08-25</t>
        </is>
      </c>
      <c r="D9" s="9" t="inlineStr">
        <is>
          <t>Republic Services</t>
        </is>
      </c>
      <c r="E9" s="10" t="n">
        <v>4440.75</v>
      </c>
      <c r="F9" s="10" t="n">
        <v>14.23317307692308</v>
      </c>
      <c r="G9" s="10" t="n">
        <v>30200.56</v>
      </c>
      <c r="H9" s="10" t="n">
        <v>3775.07</v>
      </c>
      <c r="I9" s="9" t="inlineStr">
        <is>
          <t>Overage charges present</t>
        </is>
      </c>
    </row>
    <row r="10">
      <c r="D10" s="4" t="inlineStr">
        <is>
          <t>TOTAL:</t>
        </is>
      </c>
      <c r="E10" s="11">
        <f>SUM(E2:E9)</f>
        <v/>
      </c>
      <c r="F10" s="11">
        <f>AVERAGE(F2:F9)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1">
      <c r="A1" s="12" t="inlineStr">
        <is>
          <t>Orion Prosper - Budget Projection</t>
        </is>
      </c>
    </row>
    <row r="2">
      <c r="A2" s="2" t="inlineStr">
        <is>
          <t>Based on actual expense data for budget planning</t>
        </is>
      </c>
    </row>
    <row r="4">
      <c r="A4" s="13" t="inlineStr">
        <is>
          <t>HISTORICAL AVERAGES</t>
        </is>
      </c>
    </row>
    <row r="5">
      <c r="A5" s="4" t="inlineStr">
        <is>
          <t>Average Monthly Expense:</t>
        </is>
      </c>
      <c r="B5" s="8" t="n">
        <v>3775.070000000001</v>
      </c>
    </row>
    <row r="6">
      <c r="A6" s="4" t="inlineStr">
        <is>
          <t>Average Cost Per Door:</t>
        </is>
      </c>
      <c r="B6" s="8" t="n">
        <v>12.09958333333334</v>
      </c>
    </row>
    <row r="7">
      <c r="A7" s="4" t="inlineStr">
        <is>
          <t>Data Period:</t>
        </is>
      </c>
      <c r="B7" t="inlineStr">
        <is>
          <t>8 months (2025-01 to 2025-08)</t>
        </is>
      </c>
    </row>
    <row r="9">
      <c r="A9" s="13" t="inlineStr">
        <is>
          <t>BUDGET PROJECTION (Next 12 Months)</t>
        </is>
      </c>
    </row>
    <row r="10">
      <c r="A10" s="5" t="inlineStr">
        <is>
          <t>Period</t>
        </is>
      </c>
      <c r="B10" s="5" t="inlineStr">
        <is>
          <t>Projected Monthly</t>
        </is>
      </c>
      <c r="C10" s="5" t="inlineStr">
        <is>
          <t>Cost Per Door</t>
        </is>
      </c>
      <c r="D10" s="5" t="inlineStr">
        <is>
          <t>Quarterly Total</t>
        </is>
      </c>
      <c r="E10" s="5" t="inlineStr">
        <is>
          <t>Annual Total</t>
        </is>
      </c>
      <c r="F10" s="5" t="inlineStr">
        <is>
          <t>Notes</t>
        </is>
      </c>
    </row>
    <row r="11">
      <c r="A11" t="inlineStr">
        <is>
          <t>Q1</t>
        </is>
      </c>
      <c r="B11" s="8" t="n">
        <v>3775.070000000001</v>
      </c>
      <c r="C11" s="8" t="n">
        <v>12.09958333333334</v>
      </c>
      <c r="D11" s="8" t="n">
        <v>11325.21</v>
      </c>
      <c r="E11" s="8" t="n">
        <v>11325.21</v>
      </c>
      <c r="F11" t="inlineStr">
        <is>
          <t>Based on historical average</t>
        </is>
      </c>
    </row>
    <row r="12">
      <c r="A12" t="inlineStr">
        <is>
          <t>Q2</t>
        </is>
      </c>
      <c r="B12" s="8" t="n">
        <v>3775.070000000001</v>
      </c>
      <c r="C12" s="8" t="n">
        <v>12.09958333333334</v>
      </c>
      <c r="D12" s="8" t="n">
        <v>11325.21</v>
      </c>
      <c r="E12" s="8" t="n">
        <v>22650.42000000001</v>
      </c>
      <c r="F12" t="inlineStr">
        <is>
          <t>Based on historical average</t>
        </is>
      </c>
    </row>
    <row r="13">
      <c r="A13" t="inlineStr">
        <is>
          <t>Q3</t>
        </is>
      </c>
      <c r="B13" s="8" t="n">
        <v>3775.070000000001</v>
      </c>
      <c r="C13" s="8" t="n">
        <v>12.09958333333334</v>
      </c>
      <c r="D13" s="8" t="n">
        <v>11325.21</v>
      </c>
      <c r="E13" s="8" t="n">
        <v>33975.63</v>
      </c>
      <c r="F13" t="inlineStr">
        <is>
          <t>Based on historical average</t>
        </is>
      </c>
    </row>
    <row r="14">
      <c r="A14" t="inlineStr">
        <is>
          <t>Q4</t>
        </is>
      </c>
      <c r="B14" s="8" t="n">
        <v>3775.070000000001</v>
      </c>
      <c r="C14" s="8" t="n">
        <v>12.09958333333334</v>
      </c>
      <c r="D14" s="8" t="n">
        <v>11325.21</v>
      </c>
      <c r="E14" s="8" t="n">
        <v>45300.84000000001</v>
      </c>
      <c r="F14" t="inlineStr">
        <is>
          <t>Based on historical average</t>
        </is>
      </c>
    </row>
    <row r="15">
      <c r="A15" s="4" t="inlineStr">
        <is>
          <t>ANNUAL TOTAL:</t>
        </is>
      </c>
      <c r="E15" s="14" t="n">
        <v>45300.84000000001</v>
      </c>
    </row>
    <row r="17">
      <c r="A17" s="13" t="inlineStr">
        <is>
          <t>VARIANCE SCENARIOS</t>
        </is>
      </c>
    </row>
    <row r="18">
      <c r="A18" s="5" t="inlineStr">
        <is>
          <t>Scenario</t>
        </is>
      </c>
      <c r="B18" s="5" t="inlineStr">
        <is>
          <t>Monthly</t>
        </is>
      </c>
      <c r="C18" s="5" t="inlineStr">
        <is>
          <t>Annual</t>
        </is>
      </c>
      <c r="D18" s="5" t="inlineStr">
        <is>
          <t>Variance</t>
        </is>
      </c>
    </row>
    <row r="19">
      <c r="A19" t="inlineStr">
        <is>
          <t>Best Case (-10%)</t>
        </is>
      </c>
      <c r="B19" s="8" t="n">
        <v>3397.563000000001</v>
      </c>
      <c r="C19" s="8" t="n">
        <v>40770.75600000001</v>
      </c>
      <c r="D19" s="15" t="n">
        <v>-0.1</v>
      </c>
    </row>
    <row r="20">
      <c r="A20" t="inlineStr">
        <is>
          <t>Expected (Baseline)</t>
        </is>
      </c>
      <c r="B20" s="8" t="n">
        <v>3775.070000000001</v>
      </c>
      <c r="C20" s="8" t="n">
        <v>45300.84000000001</v>
      </c>
      <c r="D20" s="16" t="n">
        <v>0</v>
      </c>
    </row>
    <row r="21">
      <c r="A21" t="inlineStr">
        <is>
          <t>Conservative (+10%)</t>
        </is>
      </c>
      <c r="B21" s="8" t="n">
        <v>4152.577000000001</v>
      </c>
      <c r="C21" s="8" t="n">
        <v>49830.92400000001</v>
      </c>
      <c r="D21" s="16" t="n">
        <v>0.1</v>
      </c>
    </row>
    <row r="22">
      <c r="A22" t="inlineStr">
        <is>
          <t>Worst Case (+20%)</t>
        </is>
      </c>
      <c r="B22" s="8" t="n">
        <v>4530.084000000001</v>
      </c>
      <c r="C22" s="8" t="n">
        <v>54361.00800000001</v>
      </c>
      <c r="D22" s="17" t="n">
        <v>0.2</v>
      </c>
    </row>
  </sheetData>
  <mergeCells count="5">
    <mergeCell ref="A2:F2"/>
    <mergeCell ref="A1:F1"/>
    <mergeCell ref="A9:F9"/>
    <mergeCell ref="A17:F17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2" t="inlineStr">
        <is>
          <t>Orion Prosper - Service Configuration</t>
        </is>
      </c>
    </row>
    <row r="3">
      <c r="A3" s="4" t="inlineStr">
        <is>
          <t>Property Name</t>
        </is>
      </c>
      <c r="B3" t="inlineStr">
        <is>
          <t>Orion Prosper</t>
        </is>
      </c>
    </row>
    <row r="4">
      <c r="A4" s="4" t="inlineStr">
        <is>
          <t>Units</t>
        </is>
      </c>
      <c r="B4" t="n">
        <v>312</v>
      </c>
    </row>
    <row r="5">
      <c r="A5" s="4" t="inlineStr">
        <is>
          <t>State</t>
        </is>
      </c>
      <c r="B5" t="inlineStr">
        <is>
          <t>TX</t>
        </is>
      </c>
    </row>
    <row r="6">
      <c r="A6" s="4" t="inlineStr">
        <is>
          <t>City</t>
        </is>
      </c>
      <c r="B6" t="inlineStr">
        <is>
          <t>Prosper</t>
        </is>
      </c>
    </row>
    <row r="7">
      <c r="A7" s="4" t="inlineStr">
        <is>
          <t>Property Type</t>
        </is>
      </c>
      <c r="B7" t="inlineStr">
        <is>
          <t>Garden Style</t>
        </is>
      </c>
    </row>
    <row r="8">
      <c r="A8" s="4" t="inlineStr">
        <is>
          <t>Service Type</t>
        </is>
      </c>
      <c r="B8" t="inlineStr">
        <is>
          <t>Compactor</t>
        </is>
      </c>
    </row>
    <row r="10">
      <c r="A10" s="18" t="inlineStr">
        <is>
          <t>Data Configuration</t>
        </is>
      </c>
      <c r="B10" t="inlineStr"/>
    </row>
    <row r="11">
      <c r="A11" s="4" t="inlineStr">
        <is>
          <t>Data Pattern</t>
        </is>
      </c>
      <c r="B11" t="inlineStr">
        <is>
          <t>A</t>
        </is>
      </c>
    </row>
    <row r="12">
      <c r="A12" s="4" t="inlineStr">
        <is>
          <t>Amount Field</t>
        </is>
      </c>
      <c r="B12" t="inlineStr">
        <is>
          <t>Extended Amount</t>
        </is>
      </c>
    </row>
    <row r="14">
      <c r="A14" s="18" t="inlineStr">
        <is>
          <t>Data Coverage</t>
        </is>
      </c>
      <c r="B14" t="inlineStr"/>
    </row>
    <row r="15">
      <c r="A15" s="4" t="inlineStr">
        <is>
          <t>Date Range Start</t>
        </is>
      </c>
      <c r="B15" t="inlineStr">
        <is>
          <t>2025-01</t>
        </is>
      </c>
    </row>
    <row r="16">
      <c r="A16" s="4" t="inlineStr">
        <is>
          <t>Date Range End</t>
        </is>
      </c>
      <c r="B16" t="inlineStr">
        <is>
          <t>2025-08</t>
        </is>
      </c>
    </row>
    <row r="17">
      <c r="A17" s="4" t="inlineStr">
        <is>
          <t>Months Covered</t>
        </is>
      </c>
      <c r="B17" t="n">
        <v>8</v>
      </c>
    </row>
    <row r="18">
      <c r="A18" s="4" t="inlineStr">
        <is>
          <t>Total Records</t>
        </is>
      </c>
      <c r="B18" t="n">
        <v>95</v>
      </c>
    </row>
    <row r="20">
      <c r="A20" s="18" t="inlineStr">
        <is>
          <t>Vendors</t>
        </is>
      </c>
      <c r="B20" t="inlineStr"/>
    </row>
    <row r="21">
      <c r="A21" s="4" t="inlineStr">
        <is>
          <t>Unique Vendors</t>
        </is>
      </c>
      <c r="B21" t="n">
        <v>1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0" customWidth="1" min="4" max="4"/>
  </cols>
  <sheetData>
    <row r="1">
      <c r="A1" s="12" t="inlineStr">
        <is>
          <t>Data Validation Report</t>
        </is>
      </c>
    </row>
    <row r="2">
      <c r="A2" t="inlineStr">
        <is>
          <t>Property: Orion Prosper</t>
        </is>
      </c>
    </row>
    <row r="3">
      <c r="A3" t="inlineStr">
        <is>
          <t>Extraction Date: 2025-11-13T07:21:49.377310</t>
        </is>
      </c>
    </row>
    <row r="4">
      <c r="A4" s="19" t="inlineStr">
        <is>
          <t>Overall Status: PASSED</t>
        </is>
      </c>
    </row>
    <row r="6">
      <c r="A6" s="13" t="inlineStr">
        <is>
          <t>VALIDATION CHECKS</t>
        </is>
      </c>
    </row>
    <row r="7">
      <c r="A7" s="5" t="inlineStr">
        <is>
          <t>Check</t>
        </is>
      </c>
      <c r="B7" s="5" t="inlineStr">
        <is>
          <t>Expected</t>
        </is>
      </c>
      <c r="C7" s="5" t="inlineStr">
        <is>
          <t>Actual</t>
        </is>
      </c>
      <c r="D7" s="5" t="inlineStr">
        <is>
          <t>Status</t>
        </is>
      </c>
    </row>
    <row r="8">
      <c r="A8" t="inlineStr">
        <is>
          <t>Total Spend</t>
        </is>
      </c>
      <c r="B8" s="8" t="n">
        <v>30200.56</v>
      </c>
      <c r="C8" s="8" t="n">
        <v>30200.56</v>
      </c>
      <c r="D8" s="19" t="inlineStr">
        <is>
          <t>PASS</t>
        </is>
      </c>
    </row>
    <row r="9">
      <c r="A9" t="inlineStr">
        <is>
          <t>Month Count</t>
        </is>
      </c>
      <c r="B9" t="n">
        <v>8</v>
      </c>
      <c r="C9" t="n">
        <v>8</v>
      </c>
      <c r="D9" s="19" t="inlineStr">
        <is>
          <t>PASS</t>
        </is>
      </c>
    </row>
    <row r="10">
      <c r="A10" t="inlineStr">
        <is>
          <t>Date Range</t>
        </is>
      </c>
      <c r="D10" s="19" t="inlineStr">
        <is>
          <t>PASS</t>
        </is>
      </c>
    </row>
  </sheetData>
  <mergeCells count="1"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2025-11-13T13:27:55Z</dcterms:created>
  <dcterms:modified xmlns:dcterms="http://purl.org/dc/terms/" xmlns:xsi="http://www.w3.org/2001/XMLSchema-instance" xsi:type="dcterms:W3CDTF">2025-11-13T13:27:55Z</dcterms:modified>
</cp:coreProperties>
</file>