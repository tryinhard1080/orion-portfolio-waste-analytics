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Springs at Alta Mesa - Expense Analysis</t>
        </is>
      </c>
    </row>
    <row r="2">
      <c r="A2" s="2" t="inlineStr">
        <is>
          <t>Generated: November 13, 2025 at 07:27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Springs at Alta Mesa</t>
        </is>
      </c>
    </row>
    <row r="6">
      <c r="A6" s="4" t="inlineStr">
        <is>
          <t>Units:</t>
        </is>
      </c>
      <c r="B6" t="n">
        <v>200</v>
      </c>
    </row>
    <row r="7">
      <c r="A7" s="4" t="inlineStr">
        <is>
          <t>State:</t>
        </is>
      </c>
      <c r="B7" t="inlineStr">
        <is>
          <t>AZ</t>
        </is>
      </c>
    </row>
    <row r="8">
      <c r="A8" s="4" t="inlineStr">
        <is>
          <t>Service Type:</t>
        </is>
      </c>
      <c r="B8" t="inlineStr">
        <is>
          <t>Mixed</t>
        </is>
      </c>
    </row>
    <row r="9">
      <c r="A9" s="4" t="inlineStr">
        <is>
          <t>Data Pattern:</t>
        </is>
      </c>
      <c r="B9" t="inlineStr">
        <is>
          <t>C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$192,171.15</t>
        </is>
      </c>
      <c r="C13" t="inlineStr">
        <is>
          <t>$960.86</t>
        </is>
      </c>
      <c r="D13" t="inlineStr">
        <is>
          <t>12 months</t>
        </is>
      </c>
    </row>
    <row r="14">
      <c r="A14" t="inlineStr">
        <is>
          <t>Average Monthly</t>
        </is>
      </c>
      <c r="B14" t="inlineStr">
        <is>
          <t>$16,014.26</t>
        </is>
      </c>
      <c r="C14" t="inlineStr">
        <is>
          <t>$80.07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$33,631.14</t>
        </is>
      </c>
      <c r="C15" t="inlineStr">
        <is>
          <t>$168.16</t>
        </is>
      </c>
      <c r="D15" t="inlineStr">
        <is>
          <t>2025-07</t>
        </is>
      </c>
    </row>
    <row r="16">
      <c r="A16" t="inlineStr">
        <is>
          <t>Lowest Month</t>
        </is>
      </c>
      <c r="B16" t="inlineStr">
        <is>
          <t>$357.21</t>
        </is>
      </c>
      <c r="C16" t="inlineStr">
        <is>
          <t>$1.79</t>
        </is>
      </c>
      <c r="D16" t="inlineStr">
        <is>
          <t>2024-11</t>
        </is>
      </c>
    </row>
    <row r="18">
      <c r="A18" s="3" t="inlineStr">
        <is>
          <t>ANOMALIES DETECTED</t>
        </is>
      </c>
    </row>
    <row r="19">
      <c r="A19" s="6" t="inlineStr">
        <is>
          <t>10 months flagged for review</t>
        </is>
      </c>
    </row>
    <row r="20">
      <c r="A20" t="inlineStr">
        <is>
          <t>2024-11</t>
        </is>
      </c>
      <c r="B20" t="inlineStr">
        <is>
          <t>$357.21</t>
        </is>
      </c>
      <c r="C20" t="inlineStr">
        <is>
          <t>Cost decreased 97.3% from prior month</t>
        </is>
      </c>
    </row>
    <row r="21">
      <c r="A21" t="inlineStr">
        <is>
          <t>2024-12</t>
        </is>
      </c>
      <c r="B21" t="inlineStr">
        <is>
          <t>$22,087.55</t>
        </is>
      </c>
      <c r="C21" t="inlineStr">
        <is>
          <t>Cost increased 6083.4% from prior month</t>
        </is>
      </c>
    </row>
    <row r="22">
      <c r="A22" t="inlineStr">
        <is>
          <t>2025-01</t>
        </is>
      </c>
      <c r="B22" t="inlineStr">
        <is>
          <t>$28,554.88</t>
        </is>
      </c>
      <c r="C22" t="inlineStr">
        <is>
          <t>Cost increased 29.3% from prior month</t>
        </is>
      </c>
    </row>
    <row r="23">
      <c r="A23" t="inlineStr">
        <is>
          <t>2025-02</t>
        </is>
      </c>
      <c r="B23" t="inlineStr">
        <is>
          <t>$495.00</t>
        </is>
      </c>
      <c r="C23" t="inlineStr">
        <is>
          <t>Cost decreased 98.3% from prior month</t>
        </is>
      </c>
    </row>
    <row r="24">
      <c r="A24" t="inlineStr">
        <is>
          <t>2025-03</t>
        </is>
      </c>
      <c r="B24" t="inlineStr">
        <is>
          <t>$14,068.68</t>
        </is>
      </c>
      <c r="C24" t="inlineStr">
        <is>
          <t>Cost increased 2742.2% from prior month</t>
        </is>
      </c>
    </row>
    <row r="25">
      <c r="A25" t="inlineStr">
        <is>
          <t>2025-04</t>
        </is>
      </c>
      <c r="B25" t="inlineStr">
        <is>
          <t>$27,680.40</t>
        </is>
      </c>
      <c r="C25" t="inlineStr">
        <is>
          <t>Cost increased 96.8% from prior month</t>
        </is>
      </c>
    </row>
    <row r="26">
      <c r="A26" t="inlineStr">
        <is>
          <t>2025-05</t>
        </is>
      </c>
      <c r="B26" t="inlineStr">
        <is>
          <t>$18,690.64</t>
        </is>
      </c>
      <c r="C26" t="inlineStr">
        <is>
          <t>Cost decreased 32.5% from prior month</t>
        </is>
      </c>
    </row>
    <row r="27">
      <c r="A27" t="inlineStr">
        <is>
          <t>2025-06</t>
        </is>
      </c>
      <c r="B27" t="inlineStr">
        <is>
          <t>$495.00</t>
        </is>
      </c>
      <c r="C27" t="inlineStr">
        <is>
          <t>Cost decreased 97.4% from prior month</t>
        </is>
      </c>
    </row>
    <row r="28">
      <c r="A28" t="inlineStr">
        <is>
          <t>2025-07</t>
        </is>
      </c>
      <c r="B28" t="inlineStr">
        <is>
          <t>$33,631.14</t>
        </is>
      </c>
      <c r="C28" t="inlineStr">
        <is>
          <t>Cost increased 6694.2% from prior month</t>
        </is>
      </c>
    </row>
    <row r="29">
      <c r="A29" t="inlineStr">
        <is>
          <t>2025-08</t>
        </is>
      </c>
      <c r="B29" t="inlineStr">
        <is>
          <t>$16,661.26</t>
        </is>
      </c>
      <c r="C29" t="inlineStr">
        <is>
          <t>Cost decreased 50.5% from prior month</t>
        </is>
      </c>
    </row>
  </sheetData>
  <mergeCells count="15">
    <mergeCell ref="A4:B4"/>
    <mergeCell ref="A1:D1"/>
    <mergeCell ref="C20:D20"/>
    <mergeCell ref="A18:D18"/>
    <mergeCell ref="C29:D29"/>
    <mergeCell ref="C21:D21"/>
    <mergeCell ref="C24:D24"/>
    <mergeCell ref="C25:D25"/>
    <mergeCell ref="C27:D27"/>
    <mergeCell ref="C26:D26"/>
    <mergeCell ref="C28:D28"/>
    <mergeCell ref="C22:D22"/>
    <mergeCell ref="A2:D2"/>
    <mergeCell ref="A11:D11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2024-10</t>
        </is>
      </c>
      <c r="B2" t="inlineStr">
        <is>
          <t>MONTHLY-City-of-Mesa-2024-10</t>
        </is>
      </c>
      <c r="C2" t="inlineStr">
        <is>
          <t>2024-10-30</t>
        </is>
      </c>
      <c r="D2" t="inlineStr">
        <is>
          <t>City of Mesa</t>
        </is>
      </c>
      <c r="E2" s="8" t="n">
        <v>13270.77</v>
      </c>
      <c r="F2" s="8" t="n">
        <v>66.35385000000001</v>
      </c>
      <c r="G2" s="8" t="n">
        <v>13270.77</v>
      </c>
      <c r="H2" s="8" t="n">
        <v>13270.77</v>
      </c>
      <c r="I2" t="inlineStr"/>
    </row>
    <row r="3">
      <c r="A3" s="9" t="inlineStr">
        <is>
          <t>2024-11</t>
        </is>
      </c>
      <c r="B3" s="9" t="inlineStr">
        <is>
          <t>42519.0</t>
        </is>
      </c>
      <c r="C3" s="9" t="inlineStr">
        <is>
          <t>2024-11-01</t>
        </is>
      </c>
      <c r="D3" s="9" t="inlineStr">
        <is>
          <t>Ally Waste</t>
        </is>
      </c>
      <c r="E3" s="10" t="n">
        <v>357.21</v>
      </c>
      <c r="F3" s="10" t="n">
        <v>1.78605</v>
      </c>
      <c r="G3" s="10" t="n">
        <v>13627.98</v>
      </c>
      <c r="H3" s="10" t="n">
        <v>6813.99</v>
      </c>
      <c r="I3" s="9" t="inlineStr">
        <is>
          <t>Cost decreased 97.3% from prior month</t>
        </is>
      </c>
    </row>
    <row r="4">
      <c r="A4" s="9" t="inlineStr">
        <is>
          <t>2024-12</t>
        </is>
      </c>
      <c r="B4" s="9" t="inlineStr">
        <is>
          <t>45072.0, MONTHLY-City-of-Mesa-2024-12</t>
        </is>
      </c>
      <c r="C4" s="9" t="inlineStr">
        <is>
          <t>2024-12-01</t>
        </is>
      </c>
      <c r="D4" s="9" t="inlineStr">
        <is>
          <t>Ally Waste, City of Mesa</t>
        </is>
      </c>
      <c r="E4" s="10" t="n">
        <v>22087.55</v>
      </c>
      <c r="F4" s="10" t="n">
        <v>110.43775</v>
      </c>
      <c r="G4" s="10" t="n">
        <v>35715.53</v>
      </c>
      <c r="H4" s="10" t="n">
        <v>11905.17666666667</v>
      </c>
      <c r="I4" s="9" t="inlineStr">
        <is>
          <t>Cost increased 6083.4% from prior month</t>
        </is>
      </c>
    </row>
    <row r="5">
      <c r="A5" s="9" t="inlineStr">
        <is>
          <t>2025-01</t>
        </is>
      </c>
      <c r="B5" s="9" t="inlineStr">
        <is>
          <t>48422.0, MONTHLY-City-of-Mesa-2025-01</t>
        </is>
      </c>
      <c r="C5" s="9" t="inlineStr">
        <is>
          <t>2025-01-01</t>
        </is>
      </c>
      <c r="D5" s="9" t="inlineStr">
        <is>
          <t>Ally Waste, City of Mesa</t>
        </is>
      </c>
      <c r="E5" s="10" t="n">
        <v>28554.88</v>
      </c>
      <c r="F5" s="10" t="n">
        <v>142.7744</v>
      </c>
      <c r="G5" s="10" t="n">
        <v>64270.41</v>
      </c>
      <c r="H5" s="10" t="n">
        <v>16067.6025</v>
      </c>
      <c r="I5" s="9" t="inlineStr">
        <is>
          <t>Cost increased 29.3% from prior month</t>
        </is>
      </c>
    </row>
    <row r="6">
      <c r="A6" s="9" t="inlineStr">
        <is>
          <t>2025-02</t>
        </is>
      </c>
      <c r="B6" s="9" t="inlineStr">
        <is>
          <t>51176.0</t>
        </is>
      </c>
      <c r="C6" s="9" t="inlineStr">
        <is>
          <t>2025-02-01</t>
        </is>
      </c>
      <c r="D6" s="9" t="inlineStr">
        <is>
          <t>Ally Waste</t>
        </is>
      </c>
      <c r="E6" s="10" t="n">
        <v>495</v>
      </c>
      <c r="F6" s="10" t="n">
        <v>2.475</v>
      </c>
      <c r="G6" s="10" t="n">
        <v>64765.41</v>
      </c>
      <c r="H6" s="10" t="n">
        <v>12953.082</v>
      </c>
      <c r="I6" s="9" t="inlineStr">
        <is>
          <t>Cost decreased 98.3% from prior month</t>
        </is>
      </c>
    </row>
    <row r="7">
      <c r="A7" s="9" t="inlineStr">
        <is>
          <t>2025-03</t>
        </is>
      </c>
      <c r="B7" s="9" t="inlineStr">
        <is>
          <t>54713.0, MONTHLY-City-of-Mesa-2025-03</t>
        </is>
      </c>
      <c r="C7" s="9" t="inlineStr">
        <is>
          <t>2025-03-01</t>
        </is>
      </c>
      <c r="D7" s="9" t="inlineStr">
        <is>
          <t>Ally Waste, City of Mesa</t>
        </is>
      </c>
      <c r="E7" s="10" t="n">
        <v>14068.68</v>
      </c>
      <c r="F7" s="10" t="n">
        <v>70.3434</v>
      </c>
      <c r="G7" s="10" t="n">
        <v>78834.09</v>
      </c>
      <c r="H7" s="10" t="n">
        <v>13139.015</v>
      </c>
      <c r="I7" s="9" t="inlineStr">
        <is>
          <t>Cost increased 2742.2% from prior month</t>
        </is>
      </c>
    </row>
    <row r="8">
      <c r="A8" s="9" t="inlineStr">
        <is>
          <t>2025-04</t>
        </is>
      </c>
      <c r="B8" s="9" t="inlineStr">
        <is>
          <t>57206.0, MONTHLY-City-of-Mesa-2025-04</t>
        </is>
      </c>
      <c r="C8" s="9" t="inlineStr">
        <is>
          <t>2025-04-01</t>
        </is>
      </c>
      <c r="D8" s="9" t="inlineStr">
        <is>
          <t>Ally Waste, City of Mesa</t>
        </is>
      </c>
      <c r="E8" s="10" t="n">
        <v>27680.4</v>
      </c>
      <c r="F8" s="10" t="n">
        <v>138.402</v>
      </c>
      <c r="G8" s="10" t="n">
        <v>106514.49</v>
      </c>
      <c r="H8" s="10" t="n">
        <v>15216.35571428571</v>
      </c>
      <c r="I8" s="9" t="inlineStr">
        <is>
          <t>Cost increased 96.8% from prior month</t>
        </is>
      </c>
    </row>
    <row r="9">
      <c r="A9" s="9" t="inlineStr">
        <is>
          <t>2025-05</t>
        </is>
      </c>
      <c r="B9" s="9" t="inlineStr">
        <is>
          <t>59041.0, MONTHLY-City-of-Mesa-2025-05</t>
        </is>
      </c>
      <c r="C9" s="9" t="inlineStr">
        <is>
          <t>2025-05-01</t>
        </is>
      </c>
      <c r="D9" s="9" t="inlineStr">
        <is>
          <t>Ally Waste, City of Mesa</t>
        </is>
      </c>
      <c r="E9" s="10" t="n">
        <v>18690.64</v>
      </c>
      <c r="F9" s="10" t="n">
        <v>93.4532</v>
      </c>
      <c r="G9" s="10" t="n">
        <v>125205.13</v>
      </c>
      <c r="H9" s="10" t="n">
        <v>15650.64125</v>
      </c>
      <c r="I9" s="9" t="inlineStr">
        <is>
          <t>Cost decreased 32.5% from prior month</t>
        </is>
      </c>
    </row>
    <row r="10">
      <c r="A10" s="9" t="inlineStr">
        <is>
          <t>2025-06</t>
        </is>
      </c>
      <c r="B10" s="9" t="inlineStr">
        <is>
          <t>62351.0</t>
        </is>
      </c>
      <c r="C10" s="9" t="inlineStr">
        <is>
          <t>2025-06-01</t>
        </is>
      </c>
      <c r="D10" s="9" t="inlineStr">
        <is>
          <t>Ally Waste</t>
        </is>
      </c>
      <c r="E10" s="10" t="n">
        <v>495</v>
      </c>
      <c r="F10" s="10" t="n">
        <v>2.475</v>
      </c>
      <c r="G10" s="10" t="n">
        <v>125700.13</v>
      </c>
      <c r="H10" s="10" t="n">
        <v>13966.68111111111</v>
      </c>
      <c r="I10" s="9" t="inlineStr">
        <is>
          <t>Cost decreased 97.4% from prior month</t>
        </is>
      </c>
    </row>
    <row r="11">
      <c r="A11" s="9" t="inlineStr">
        <is>
          <t>2025-07</t>
        </is>
      </c>
      <c r="B11" s="9" t="inlineStr">
        <is>
          <t>65439.0, MONTHLY-City-of-Mesa-2025-07</t>
        </is>
      </c>
      <c r="C11" s="9" t="inlineStr">
        <is>
          <t>2025-07-01</t>
        </is>
      </c>
      <c r="D11" s="9" t="inlineStr">
        <is>
          <t>Ally Waste, City of Mesa</t>
        </is>
      </c>
      <c r="E11" s="10" t="n">
        <v>33631.14</v>
      </c>
      <c r="F11" s="10" t="n">
        <v>168.1557</v>
      </c>
      <c r="G11" s="10" t="n">
        <v>159331.27</v>
      </c>
      <c r="H11" s="10" t="n">
        <v>15933.127</v>
      </c>
      <c r="I11" s="9" t="inlineStr">
        <is>
          <t>Cost increased 6694.2% from prior month</t>
        </is>
      </c>
    </row>
    <row r="12">
      <c r="A12" s="9" t="inlineStr">
        <is>
          <t>2025-08</t>
        </is>
      </c>
      <c r="B12" s="9" t="inlineStr">
        <is>
          <t>68309.0, MONTHLY-City-of-Mesa-2025-08</t>
        </is>
      </c>
      <c r="C12" s="9" t="inlineStr">
        <is>
          <t>2025-08-01</t>
        </is>
      </c>
      <c r="D12" s="9" t="inlineStr">
        <is>
          <t>Ally Waste, City of Mesa</t>
        </is>
      </c>
      <c r="E12" s="10" t="n">
        <v>16661.26</v>
      </c>
      <c r="F12" s="10" t="n">
        <v>83.30630000000001</v>
      </c>
      <c r="G12" s="10" t="n">
        <v>175992.53</v>
      </c>
      <c r="H12" s="10" t="n">
        <v>15999.32090909091</v>
      </c>
      <c r="I12" s="9" t="inlineStr">
        <is>
          <t>Cost decreased 50.5% from prior month</t>
        </is>
      </c>
    </row>
    <row r="13">
      <c r="A13" t="inlineStr">
        <is>
          <t>2025-09</t>
        </is>
      </c>
      <c r="B13" t="inlineStr">
        <is>
          <t>71251.0, MONTHLY-City-of-Mesa-2025-09</t>
        </is>
      </c>
      <c r="C13" t="inlineStr">
        <is>
          <t>2025-09-01</t>
        </is>
      </c>
      <c r="D13" t="inlineStr">
        <is>
          <t>Ally Waste, City of Mesa</t>
        </is>
      </c>
      <c r="E13" s="8" t="n">
        <v>16178.62</v>
      </c>
      <c r="F13" s="8" t="n">
        <v>80.8931</v>
      </c>
      <c r="G13" s="8" t="n">
        <v>192171.15</v>
      </c>
      <c r="H13" s="8" t="n">
        <v>16014.2625</v>
      </c>
      <c r="I13" t="inlineStr"/>
    </row>
    <row r="14">
      <c r="D14" s="4" t="inlineStr">
        <is>
          <t>TOTAL:</t>
        </is>
      </c>
      <c r="E14" s="11">
        <f>SUM(E2:E13)</f>
        <v/>
      </c>
      <c r="F14" s="11">
        <f>AVERAGE(F2:F13)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2" t="inlineStr">
        <is>
          <t>Springs at Alta Mesa - Budget Projection</t>
        </is>
      </c>
    </row>
    <row r="2">
      <c r="A2" s="2" t="inlineStr">
        <is>
          <t>Based on actual expense data for budget planning</t>
        </is>
      </c>
    </row>
    <row r="4">
      <c r="A4" s="13" t="inlineStr">
        <is>
          <t>HISTORICAL AVERAGES</t>
        </is>
      </c>
    </row>
    <row r="5">
      <c r="A5" s="4" t="inlineStr">
        <is>
          <t>Average Monthly Expense:</t>
        </is>
      </c>
      <c r="B5" s="8" t="n">
        <v>16014.2625</v>
      </c>
    </row>
    <row r="6">
      <c r="A6" s="4" t="inlineStr">
        <is>
          <t>Average Cost Per Door:</t>
        </is>
      </c>
      <c r="B6" s="8" t="n">
        <v>80.0713125</v>
      </c>
    </row>
    <row r="7">
      <c r="A7" s="4" t="inlineStr">
        <is>
          <t>Data Period:</t>
        </is>
      </c>
      <c r="B7" t="inlineStr">
        <is>
          <t>12 months (2024-10 to 2025-09)</t>
        </is>
      </c>
    </row>
    <row r="9">
      <c r="A9" s="13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16014.2625</v>
      </c>
      <c r="C11" s="8" t="n">
        <v>80.0713125</v>
      </c>
      <c r="D11" s="8" t="n">
        <v>48042.78750000001</v>
      </c>
      <c r="E11" s="8" t="n">
        <v>48042.78750000001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16014.2625</v>
      </c>
      <c r="C12" s="8" t="n">
        <v>80.0713125</v>
      </c>
      <c r="D12" s="8" t="n">
        <v>48042.78750000001</v>
      </c>
      <c r="E12" s="8" t="n">
        <v>96085.57500000001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16014.2625</v>
      </c>
      <c r="C13" s="8" t="n">
        <v>80.0713125</v>
      </c>
      <c r="D13" s="8" t="n">
        <v>48042.78750000001</v>
      </c>
      <c r="E13" s="8" t="n">
        <v>144128.3625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16014.2625</v>
      </c>
      <c r="C14" s="8" t="n">
        <v>80.0713125</v>
      </c>
      <c r="D14" s="8" t="n">
        <v>48042.78750000001</v>
      </c>
      <c r="E14" s="8" t="n">
        <v>192171.15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4" t="n">
        <v>192171.15</v>
      </c>
    </row>
    <row r="17">
      <c r="A17" s="13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14412.83625</v>
      </c>
      <c r="C19" s="8" t="n">
        <v>172954.035</v>
      </c>
      <c r="D19" s="15" t="n">
        <v>-0.1</v>
      </c>
    </row>
    <row r="20">
      <c r="A20" t="inlineStr">
        <is>
          <t>Expected (Baseline)</t>
        </is>
      </c>
      <c r="B20" s="8" t="n">
        <v>16014.2625</v>
      </c>
      <c r="C20" s="8" t="n">
        <v>192171.15</v>
      </c>
      <c r="D20" s="16" t="n">
        <v>0</v>
      </c>
    </row>
    <row r="21">
      <c r="A21" t="inlineStr">
        <is>
          <t>Conservative (+10%)</t>
        </is>
      </c>
      <c r="B21" s="8" t="n">
        <v>17615.68875</v>
      </c>
      <c r="C21" s="8" t="n">
        <v>211388.2650000001</v>
      </c>
      <c r="D21" s="16" t="n">
        <v>0.1</v>
      </c>
    </row>
    <row r="22">
      <c r="A22" t="inlineStr">
        <is>
          <t>Worst Case (+20%)</t>
        </is>
      </c>
      <c r="B22" s="8" t="n">
        <v>19217.115</v>
      </c>
      <c r="C22" s="8" t="n">
        <v>230605.38</v>
      </c>
      <c r="D22" s="17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2" t="inlineStr">
        <is>
          <t>Springs at Alta Mesa - Service Configuration</t>
        </is>
      </c>
    </row>
    <row r="3">
      <c r="A3" s="4" t="inlineStr">
        <is>
          <t>Property Name</t>
        </is>
      </c>
      <c r="B3" t="inlineStr">
        <is>
          <t>Springs at Alta Mesa</t>
        </is>
      </c>
    </row>
    <row r="4">
      <c r="A4" s="4" t="inlineStr">
        <is>
          <t>Units</t>
        </is>
      </c>
      <c r="B4" t="n">
        <v>200</v>
      </c>
    </row>
    <row r="5">
      <c r="A5" s="4" t="inlineStr">
        <is>
          <t>State</t>
        </is>
      </c>
      <c r="B5" t="inlineStr">
        <is>
          <t>AZ</t>
        </is>
      </c>
    </row>
    <row r="6">
      <c r="A6" s="4" t="inlineStr">
        <is>
          <t>City</t>
        </is>
      </c>
      <c r="B6" t="inlineStr">
        <is>
          <t>Mesa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Mixed</t>
        </is>
      </c>
    </row>
    <row r="10">
      <c r="A10" s="18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C</t>
        </is>
      </c>
    </row>
    <row r="12">
      <c r="A12" s="4" t="inlineStr">
        <is>
          <t>Amount Field</t>
        </is>
      </c>
      <c r="B12" t="inlineStr">
        <is>
          <t>Invoice Amount</t>
        </is>
      </c>
    </row>
    <row r="14">
      <c r="A14" s="18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2024-10</t>
        </is>
      </c>
    </row>
    <row r="16">
      <c r="A16" s="4" t="inlineStr">
        <is>
          <t>Date Range End</t>
        </is>
      </c>
      <c r="B16" t="inlineStr">
        <is>
          <t>2025-09</t>
        </is>
      </c>
    </row>
    <row r="17">
      <c r="A17" s="4" t="inlineStr">
        <is>
          <t>Months Covered</t>
        </is>
      </c>
      <c r="B17" t="n">
        <v>12</v>
      </c>
    </row>
    <row r="18">
      <c r="A18" s="4" t="inlineStr">
        <is>
          <t>Total Records</t>
        </is>
      </c>
      <c r="B18" t="n">
        <v>203</v>
      </c>
    </row>
    <row r="20">
      <c r="A20" s="18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2</v>
      </c>
    </row>
    <row r="23">
      <c r="A23" s="18" t="inlineStr">
        <is>
          <t>NOTES</t>
        </is>
      </c>
    </row>
    <row r="24">
      <c r="A24" s="19" t="inlineStr">
        <is>
          <t>94.6% records missing invoice numbers - use monthly aggregation. Reference property with completed analysis.</t>
        </is>
      </c>
    </row>
  </sheetData>
  <mergeCells count="2">
    <mergeCell ref="A24:B24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2" t="inlineStr">
        <is>
          <t>Data Validation Report</t>
        </is>
      </c>
    </row>
    <row r="2">
      <c r="A2" t="inlineStr">
        <is>
          <t>Property: Springs at Alta Mesa</t>
        </is>
      </c>
    </row>
    <row r="3">
      <c r="A3" t="inlineStr">
        <is>
          <t>Extraction Date: 2025-11-13T07:20:44.509671</t>
        </is>
      </c>
    </row>
    <row r="4">
      <c r="A4" s="20" t="inlineStr">
        <is>
          <t>Overall Status: PASSED</t>
        </is>
      </c>
    </row>
    <row r="6">
      <c r="A6" s="13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192171.15</v>
      </c>
      <c r="C8" s="8" t="n">
        <v>192171.15</v>
      </c>
      <c r="D8" s="20" t="inlineStr">
        <is>
          <t>PASS</t>
        </is>
      </c>
    </row>
    <row r="9">
      <c r="A9" t="inlineStr">
        <is>
          <t>Month Count</t>
        </is>
      </c>
      <c r="B9" t="n">
        <v>12</v>
      </c>
      <c r="C9" t="n">
        <v>12</v>
      </c>
      <c r="D9" s="20" t="inlineStr">
        <is>
          <t>PASS</t>
        </is>
      </c>
    </row>
    <row r="10">
      <c r="A10" t="inlineStr">
        <is>
          <t>Date Range</t>
        </is>
      </c>
      <c r="D10" s="20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2025-11-13T13:27:44Z</dcterms:created>
  <dcterms:modified xmlns:dcterms="http://purl.org/dc/terms/" xmlns:xsi="http://www.w3.org/2001/XMLSchema-instance" xsi:type="dcterms:W3CDTF">2025-11-13T13:27:44Z</dcterms:modified>
</cp:coreProperties>
</file>