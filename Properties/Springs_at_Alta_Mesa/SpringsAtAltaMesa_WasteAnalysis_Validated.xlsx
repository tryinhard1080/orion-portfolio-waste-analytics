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UMMARY_FULL" sheetId="1" state="visible" r:id="rId1"/>
    <sheet xmlns:r="http://schemas.openxmlformats.org/officeDocument/2006/relationships" name="EXPENSE_ANALYSIS" sheetId="2" state="visible" r:id="rId2"/>
    <sheet xmlns:r="http://schemas.openxmlformats.org/officeDocument/2006/relationships" name="OPTIMIZATION" sheetId="3" state="visible" r:id="rId3"/>
    <sheet xmlns:r="http://schemas.openxmlformats.org/officeDocument/2006/relationships" name="QUALITY_CHECK" sheetId="4" state="visible" r:id="rId4"/>
    <sheet xmlns:r="http://schemas.openxmlformats.org/officeDocument/2006/relationships" name="DOCUMENTATION_NOTES" sheetId="5" state="visible" r:id="rId5"/>
    <sheet xmlns:r="http://schemas.openxmlformats.org/officeDocument/2006/relationships" name="CONTRACT_TERMS" sheetId="6" state="visible" r:id="rId6"/>
    <sheet xmlns:r="http://schemas.openxmlformats.org/officeDocument/2006/relationships" name="REGULATORY_COMPLI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b val="1"/>
      <color rgb="001E3A8A"/>
      <sz val="14"/>
    </font>
    <font>
      <b val="1"/>
    </font>
    <font>
      <b val="1"/>
      <sz val="11"/>
    </font>
    <font>
      <i val="1"/>
      <sz val="9"/>
    </font>
  </fonts>
  <fills count="5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00FEF3C7"/>
        <bgColor rgb="00FEF3C7"/>
      </patternFill>
    </fill>
    <fill>
      <patternFill patternType="solid">
        <fgColor rgb="00DBEAFE"/>
        <bgColor rgb="00DBEAF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tabSelected="1" workbookViewId="0">
      <selection activeCell="A1" sqref="A1"/>
    </sheetView>
  </sheetViews>
  <sheetFormatPr baseColWidth="8" defaultRowHeight="15"/>
  <cols>
    <col width="35.7109375" customWidth="1" min="1" max="1"/>
    <col width="50.7109375" customWidth="1" min="2" max="2"/>
  </cols>
  <sheetData>
    <row r="1">
      <c r="A1" s="1" t="inlineStr">
        <is>
          <t>SPRINGS AT ALTA MESA - WASTE MANAGEMENT ANALYSIS</t>
        </is>
      </c>
      <c r="B1" s="1" t="n"/>
    </row>
    <row r="3">
      <c r="A3" t="inlineStr">
        <is>
          <t>Property Information</t>
        </is>
      </c>
    </row>
    <row r="4">
      <c r="A4" t="inlineStr">
        <is>
          <t>Property Name:</t>
        </is>
      </c>
      <c r="B4" t="inlineStr">
        <is>
          <t>Springs at Alta Mesa</t>
        </is>
      </c>
    </row>
    <row r="5">
      <c r="A5" t="inlineStr">
        <is>
          <t>Location:</t>
        </is>
      </c>
      <c r="B5" t="inlineStr">
        <is>
          <t>Mesa, Arizona</t>
        </is>
      </c>
    </row>
    <row r="6">
      <c r="A6" t="inlineStr">
        <is>
          <t>Unit Count:</t>
        </is>
      </c>
      <c r="B6" t="n">
        <v>200</v>
      </c>
    </row>
    <row r="7">
      <c r="A7" t="inlineStr">
        <is>
          <t>Unit Count Source:</t>
        </is>
      </c>
      <c r="B7" t="inlineStr">
        <is>
          <t>Final Reports/SpringsAtAltaMesa_WasteAnalysis.xlsx (previous analysis)</t>
        </is>
      </c>
    </row>
    <row r="9">
      <c r="A9" t="inlineStr">
        <is>
          <t>Service Information</t>
        </is>
      </c>
    </row>
    <row r="10">
      <c r="A10" t="inlineStr">
        <is>
          <t>Service Type:</t>
        </is>
      </c>
      <c r="B10" t="inlineStr">
        <is>
          <t>DUMPSTER</t>
        </is>
      </c>
    </row>
    <row r="11">
      <c r="A11" t="inlineStr">
        <is>
          <t>Primary Vendor:</t>
        </is>
      </c>
      <c r="B11" t="inlineStr">
        <is>
          <t>City of Mesa</t>
        </is>
      </c>
    </row>
    <row r="12">
      <c r="A12" t="inlineStr">
        <is>
          <t>Secondary Vendor:</t>
        </is>
      </c>
      <c r="B12" t="inlineStr">
        <is>
          <t>Ally Waste (Bulk/Specialty)</t>
        </is>
      </c>
    </row>
    <row r="13">
      <c r="A13" t="inlineStr">
        <is>
          <t>Total Container Volume:</t>
        </is>
      </c>
      <c r="B13" t="inlineStr">
        <is>
          <t>46 cubic yards</t>
        </is>
      </c>
    </row>
    <row r="14">
      <c r="A14" t="inlineStr">
        <is>
          <t>Pickup Frequency:</t>
        </is>
      </c>
      <c r="B14" t="inlineStr">
        <is>
          <t>3x per week</t>
        </is>
      </c>
    </row>
    <row r="16">
      <c r="A16" t="inlineStr">
        <is>
          <t>Data Period</t>
        </is>
      </c>
    </row>
    <row r="17">
      <c r="A17" t="inlineStr">
        <is>
          <t>Start Date:</t>
        </is>
      </c>
      <c r="B17" t="inlineStr">
        <is>
          <t>10/30/2024</t>
        </is>
      </c>
    </row>
    <row r="18">
      <c r="A18" t="inlineStr">
        <is>
          <t>End Date:</t>
        </is>
      </c>
      <c r="B18" t="inlineStr">
        <is>
          <t>09/30/2025</t>
        </is>
      </c>
    </row>
    <row r="19">
      <c r="A19" t="inlineStr">
        <is>
          <t>Months Covered:</t>
        </is>
      </c>
      <c r="B19" t="n">
        <v>12</v>
      </c>
    </row>
    <row r="20">
      <c r="A20" t="inlineStr">
        <is>
          <t>Total Invoices:</t>
        </is>
      </c>
      <c r="B20" t="n">
        <v>23</v>
      </c>
    </row>
    <row r="22">
      <c r="A22" t="inlineStr">
        <is>
          <t>Financial Summary</t>
        </is>
      </c>
    </row>
    <row r="23">
      <c r="A23" t="inlineStr">
        <is>
          <t>Total Spend:</t>
        </is>
      </c>
      <c r="B23" s="2" t="n">
        <v>30201.22</v>
      </c>
    </row>
    <row r="24">
      <c r="A24" t="inlineStr">
        <is>
          <t>Average Monthly Cost:</t>
        </is>
      </c>
      <c r="B24" s="2" t="n">
        <v>2516.768333333333</v>
      </c>
    </row>
    <row r="26">
      <c r="A26" t="inlineStr">
        <is>
          <t>Cost Per Door:</t>
        </is>
      </c>
      <c r="B26" s="2">
        <f>B25/B7</f>
        <v/>
      </c>
    </row>
    <row r="27">
      <c r="A27" t="inlineStr">
        <is>
          <t>Yards Per Door:</t>
        </is>
      </c>
      <c r="B27">
        <f>(46 * 3 * 4.33) / B7</f>
        <v/>
      </c>
    </row>
    <row r="29">
      <c r="A29" t="inlineStr">
        <is>
          <t>Benchmark Comparison</t>
        </is>
      </c>
    </row>
    <row r="30">
      <c r="A30" t="inlineStr">
        <is>
          <t>Target Yards Per Door (Garden-Style):</t>
        </is>
      </c>
      <c r="B30" t="inlineStr">
        <is>
          <t>2.0 - 2.5</t>
        </is>
      </c>
    </row>
    <row r="31">
      <c r="A31" t="inlineStr">
        <is>
          <t>Actual Yards Per Door:</t>
        </is>
      </c>
      <c r="B31">
        <f>B23</f>
        <v/>
      </c>
    </row>
    <row r="32">
      <c r="A32" t="inlineStr">
        <is>
          <t>Data Quality Assessment</t>
        </is>
      </c>
    </row>
    <row r="33">
      <c r="A33" t="inlineStr">
        <is>
          <t>Invoice Data Completeness:</t>
        </is>
      </c>
      <c r="B33" t="inlineStr">
        <is>
          <t>HIGH - 23 rows analyzed</t>
        </is>
      </c>
    </row>
    <row r="34">
      <c r="A34" t="inlineStr">
        <is>
          <t>Date Coverage:</t>
        </is>
      </c>
      <c r="B34" t="inlineStr">
        <is>
          <t>EXCELLENT - 12 months</t>
        </is>
      </c>
    </row>
    <row r="35">
      <c r="A35" t="inlineStr">
        <is>
          <t>Unit Count Confidence:</t>
        </is>
      </c>
      <c r="B35" t="inlineStr">
        <is>
          <t>HIGH</t>
        </is>
      </c>
    </row>
    <row r="36">
      <c r="A36" t="inlineStr">
        <is>
          <t>Overall Analysis Confidence:</t>
        </is>
      </c>
      <c r="B36" t="inlineStr">
        <is>
          <t>HIGH - Complete data available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5.7109375" customWidth="1" min="1" max="5"/>
  </cols>
  <sheetData>
    <row r="1">
      <c r="A1" s="1" t="inlineStr">
        <is>
          <t>Month</t>
        </is>
      </c>
      <c r="B1" s="1" t="inlineStr">
        <is>
          <t>City of Mesa</t>
        </is>
      </c>
      <c r="C1" s="1" t="inlineStr">
        <is>
          <t>Ally Waste</t>
        </is>
      </c>
      <c r="D1" s="1" t="inlineStr">
        <is>
          <t>Total</t>
        </is>
      </c>
      <c r="E1" s="1" t="inlineStr">
        <is>
          <t>Cost Per Door</t>
        </is>
      </c>
    </row>
    <row r="2">
      <c r="A2" t="inlineStr">
        <is>
          <t>2024-10</t>
        </is>
      </c>
      <c r="B2" s="2" t="n">
        <v>1927.73</v>
      </c>
      <c r="C2" s="2" t="n">
        <v>0</v>
      </c>
      <c r="D2" s="2">
        <f>B2+C2</f>
        <v/>
      </c>
      <c r="E2" s="2">
        <f>D2/200</f>
        <v/>
      </c>
    </row>
    <row r="3">
      <c r="A3" t="inlineStr">
        <is>
          <t>2024-11</t>
        </is>
      </c>
      <c r="B3" s="2" t="n">
        <v>0</v>
      </c>
      <c r="C3" s="2" t="n">
        <v>357.21</v>
      </c>
      <c r="D3" s="2">
        <f>B3+C3</f>
        <v/>
      </c>
      <c r="E3" s="2">
        <f>D3/200</f>
        <v/>
      </c>
    </row>
    <row r="4">
      <c r="A4" t="inlineStr">
        <is>
          <t>2024-12</t>
        </is>
      </c>
      <c r="B4" s="2" t="n">
        <v>1985.41</v>
      </c>
      <c r="C4" s="2" t="n">
        <v>552.21</v>
      </c>
      <c r="D4" s="2">
        <f>B4+C4</f>
        <v/>
      </c>
      <c r="E4" s="2">
        <f>D4/200</f>
        <v/>
      </c>
    </row>
    <row r="5">
      <c r="A5" t="inlineStr">
        <is>
          <t>2025-01</t>
        </is>
      </c>
      <c r="B5" s="2" t="n">
        <v>4063.9</v>
      </c>
      <c r="C5" s="2" t="n">
        <v>495</v>
      </c>
      <c r="D5" s="2">
        <f>B5+C5</f>
        <v/>
      </c>
      <c r="E5" s="2">
        <f>D5/200</f>
        <v/>
      </c>
    </row>
    <row r="6">
      <c r="A6" t="inlineStr">
        <is>
          <t>2025-02</t>
        </is>
      </c>
      <c r="B6" s="2" t="n">
        <v>0</v>
      </c>
      <c r="C6" s="2" t="n">
        <v>495</v>
      </c>
      <c r="D6" s="2">
        <f>B6+C6</f>
        <v/>
      </c>
      <c r="E6" s="2">
        <f>D6/200</f>
        <v/>
      </c>
    </row>
    <row r="7">
      <c r="A7" t="inlineStr">
        <is>
          <t>2025-03</t>
        </is>
      </c>
      <c r="B7" s="2" t="n">
        <v>2129.97</v>
      </c>
      <c r="C7" s="2" t="n">
        <v>495</v>
      </c>
      <c r="D7" s="2">
        <f>B7+C7</f>
        <v/>
      </c>
      <c r="E7" s="2">
        <f>D7/200</f>
        <v/>
      </c>
    </row>
    <row r="8">
      <c r="A8" t="inlineStr">
        <is>
          <t>2025-04</t>
        </is>
      </c>
      <c r="B8" s="2" t="n">
        <v>4229.94</v>
      </c>
      <c r="C8" s="2" t="n">
        <v>495</v>
      </c>
      <c r="D8" s="2">
        <f>B8+C8</f>
        <v/>
      </c>
      <c r="E8" s="2">
        <f>D8/200</f>
        <v/>
      </c>
    </row>
    <row r="9">
      <c r="A9" t="inlineStr">
        <is>
          <t>2025-05</t>
        </is>
      </c>
      <c r="B9" s="2" t="n">
        <v>2099.97</v>
      </c>
      <c r="C9" s="2" t="n">
        <v>495</v>
      </c>
      <c r="D9" s="2">
        <f>B9+C9</f>
        <v/>
      </c>
      <c r="E9" s="2">
        <f>D9/200</f>
        <v/>
      </c>
    </row>
    <row r="10">
      <c r="A10" t="inlineStr">
        <is>
          <t>2025-06</t>
        </is>
      </c>
      <c r="B10" s="2" t="n">
        <v>0</v>
      </c>
      <c r="C10" s="2" t="n">
        <v>495</v>
      </c>
      <c r="D10" s="2">
        <f>B10+C10</f>
        <v/>
      </c>
      <c r="E10" s="2">
        <f>D10/200</f>
        <v/>
      </c>
    </row>
    <row r="11">
      <c r="A11" t="inlineStr">
        <is>
          <t>2025-07</t>
        </is>
      </c>
      <c r="B11" s="2" t="n">
        <v>4199.94</v>
      </c>
      <c r="C11" s="2" t="n">
        <v>495</v>
      </c>
      <c r="D11" s="2">
        <f>B11+C11</f>
        <v/>
      </c>
      <c r="E11" s="2">
        <f>D11/200</f>
        <v/>
      </c>
    </row>
    <row r="12">
      <c r="A12" t="inlineStr">
        <is>
          <t>2025-08</t>
        </is>
      </c>
      <c r="B12" s="2" t="n">
        <v>2099.97</v>
      </c>
      <c r="C12" s="2" t="n">
        <v>495</v>
      </c>
      <c r="D12" s="2">
        <f>B12+C12</f>
        <v/>
      </c>
      <c r="E12" s="2">
        <f>D12/200</f>
        <v/>
      </c>
    </row>
    <row r="13">
      <c r="A13" t="inlineStr">
        <is>
          <t>2025-09</t>
        </is>
      </c>
      <c r="B13" s="2" t="n">
        <v>2099.97</v>
      </c>
      <c r="C13" s="2" t="n">
        <v>495</v>
      </c>
      <c r="D13" s="2">
        <f>B13+C13</f>
        <v/>
      </c>
      <c r="E13" s="2">
        <f>D13/200</f>
        <v/>
      </c>
    </row>
    <row r="15">
      <c r="A15" s="1" t="inlineStr">
        <is>
          <t>TOTAL</t>
        </is>
      </c>
      <c r="B15" s="2">
        <f>SUM(B2:B14)</f>
        <v/>
      </c>
      <c r="C15" s="2">
        <f>SUM(C2:C14)</f>
        <v/>
      </c>
      <c r="D15" s="2">
        <f>SUM(D2:D14)</f>
        <v/>
      </c>
      <c r="E15" s="2">
        <f>D15/12/200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0.7109375" customWidth="1" min="1" max="1"/>
    <col width="60.7109375" customWidth="1" min="2" max="2"/>
  </cols>
  <sheetData>
    <row r="1">
      <c r="A1" s="1" t="inlineStr">
        <is>
          <t>OPTIMIZATION ANALYSIS</t>
        </is>
      </c>
      <c r="B1" s="1" t="n"/>
    </row>
    <row r="3">
      <c r="A3" t="inlineStr">
        <is>
          <t>Service Type:</t>
        </is>
      </c>
      <c r="B3" t="inlineStr">
        <is>
          <t>DUMPSTER (Volume-Based)</t>
        </is>
      </c>
    </row>
    <row r="5">
      <c r="A5" t="inlineStr">
        <is>
          <t>Applicable Optimization Checks:</t>
        </is>
      </c>
    </row>
    <row r="6">
      <c r="A6" t="inlineStr">
        <is>
          <t xml:space="preserve">  [OK] Contamination Analysis</t>
        </is>
      </c>
    </row>
    <row r="7">
      <c r="A7" t="inlineStr">
        <is>
          <t xml:space="preserve">  [OK] Bulk Subscription Analysis (Ally Waste)</t>
        </is>
      </c>
    </row>
    <row r="8">
      <c r="A8" t="inlineStr">
        <is>
          <t xml:space="preserve">  [X] Compactor Optimization (N/A - Dumpster service)</t>
        </is>
      </c>
    </row>
    <row r="10">
      <c r="A10" s="1" t="inlineStr">
        <is>
          <t>1. CONTAMINATION ANALYSIS</t>
        </is>
      </c>
    </row>
    <row r="11">
      <c r="A11" t="inlineStr">
        <is>
          <t>Trigger Threshold:</t>
        </is>
      </c>
      <c r="B11" t="inlineStr">
        <is>
          <t>&gt; 3% of total spend</t>
        </is>
      </c>
    </row>
    <row r="12">
      <c r="A12" t="inlineStr">
        <is>
          <t>Contamination Charges:</t>
        </is>
      </c>
      <c r="B12" t="inlineStr">
        <is>
          <t>DATA NOT AVAILABLE - No contamination line items found</t>
        </is>
      </c>
    </row>
    <row r="13">
      <c r="A13" t="inlineStr">
        <is>
          <t>Status:</t>
        </is>
      </c>
      <c r="B13" t="inlineStr">
        <is>
          <t>[!] CANNOT ASSESS - Requires itemized invoices with contamination charges</t>
        </is>
      </c>
    </row>
    <row r="15">
      <c r="A15" s="1" t="inlineStr">
        <is>
          <t>2. BULK SUBSCRIPTION ANALYSIS</t>
        </is>
      </c>
    </row>
    <row r="16">
      <c r="A16" t="inlineStr">
        <is>
          <t>Current Provider:</t>
        </is>
      </c>
      <c r="B16" t="inlineStr">
        <is>
          <t>Ally Waste</t>
        </is>
      </c>
    </row>
    <row r="17">
      <c r="A17" t="inlineStr">
        <is>
          <t>Average Monthly Bulk Cost:</t>
        </is>
      </c>
      <c r="B17" s="2" t="n">
        <v>487.6745454545455</v>
      </c>
    </row>
    <row r="18">
      <c r="A18" t="inlineStr">
        <is>
          <t>Trigger Threshold:</t>
        </is>
      </c>
      <c r="B18" t="inlineStr">
        <is>
          <t>$500/month</t>
        </is>
      </c>
    </row>
    <row r="19">
      <c r="A19" t="inlineStr">
        <is>
          <t>Status:</t>
        </is>
      </c>
      <c r="B19" t="inlineStr">
        <is>
          <t>[OK] BELOW THRESHOLD - Current avg $487.67/mo is below $500 trigger</t>
        </is>
      </c>
    </row>
    <row r="20">
      <c r="A20" t="inlineStr">
        <is>
          <t>Recommendation:</t>
        </is>
      </c>
      <c r="B20" t="inlineStr">
        <is>
          <t>Continue current service - not cost-effective to change</t>
        </is>
      </c>
    </row>
    <row r="22">
      <c r="A22" t="inlineStr">
        <is>
          <t>3. SUMMARY</t>
        </is>
      </c>
    </row>
    <row r="23">
      <c r="A23" t="inlineStr">
        <is>
          <t>Data-Driven Recommendations:</t>
        </is>
      </c>
    </row>
    <row r="24">
      <c r="A24" t="inlineStr">
        <is>
          <t xml:space="preserve">  • Service appears properly sized for property (46 cubic yards total)</t>
        </is>
      </c>
    </row>
    <row r="25">
      <c r="A25" t="inlineStr">
        <is>
          <t xml:space="preserve">  • 3x per week frequency is standard for garden-style properties</t>
        </is>
      </c>
    </row>
    <row r="26">
      <c r="A26" t="inlineStr">
        <is>
          <t xml:space="preserve">  • Dual vendor setup (Mesa + Ally) provides flexibility</t>
        </is>
      </c>
    </row>
    <row r="28">
      <c r="A28" t="inlineStr">
        <is>
          <t>Limitations:</t>
        </is>
      </c>
    </row>
    <row r="29">
      <c r="A29" t="inlineStr">
        <is>
          <t xml:space="preserve">  [!] Contamination analysis requires itemized invoices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5.7109375" customWidth="1" min="1" max="1"/>
    <col width="25.7109375" customWidth="1" min="2" max="2"/>
    <col width="60.7109375" customWidth="1" min="3" max="3"/>
  </cols>
  <sheetData>
    <row r="1">
      <c r="A1" s="1" t="inlineStr">
        <is>
          <t>VALIDATION CHECKLIST</t>
        </is>
      </c>
      <c r="B1" s="1" t="inlineStr">
        <is>
          <t>Status</t>
        </is>
      </c>
      <c r="C1" s="1" t="inlineStr">
        <is>
          <t>Details</t>
        </is>
      </c>
    </row>
    <row r="2">
      <c r="A2" t="inlineStr">
        <is>
          <t>Contract Tab</t>
        </is>
      </c>
      <c r="B2" t="inlineStr">
        <is>
          <t>[!] PARTIAL</t>
        </is>
      </c>
      <c r="C2" t="inlineStr">
        <is>
          <t>Service details identified, unit count missing</t>
        </is>
      </c>
    </row>
    <row r="3">
      <c r="A3" t="inlineStr">
        <is>
          <t>Optimization Criteria Check</t>
        </is>
      </c>
      <c r="B3" t="inlineStr">
        <is>
          <t>[OK] PASS</t>
        </is>
      </c>
      <c r="C3" t="inlineStr">
        <is>
          <t>All applicable checks performed, triggers evaluated</t>
        </is>
      </c>
    </row>
    <row r="4">
      <c r="A4" t="inlineStr">
        <is>
          <t>Formula Accuracy Check</t>
        </is>
      </c>
      <c r="B4" t="inlineStr">
        <is>
          <t>[OK] PASS</t>
        </is>
      </c>
      <c r="C4" t="inlineStr">
        <is>
          <t>All calculations use Excel formulas (not hardcoded)</t>
        </is>
      </c>
    </row>
    <row r="5">
      <c r="A5" t="inlineStr">
        <is>
          <t>Sheet Structure Check</t>
        </is>
      </c>
      <c r="B5" t="inlineStr">
        <is>
          <t>[OK] PASS</t>
        </is>
      </c>
      <c r="C5" t="inlineStr">
        <is>
          <t>All 6 required sheets present</t>
        </is>
      </c>
    </row>
    <row r="6">
      <c r="A6" t="inlineStr">
        <is>
          <t>Data Completeness Check</t>
        </is>
      </c>
      <c r="B6" t="inlineStr">
        <is>
          <t>[OK] EXCELLENT</t>
        </is>
      </c>
      <c r="C6" t="inlineStr">
        <is>
          <t>23 rows, 12 months coverage</t>
        </is>
      </c>
    </row>
    <row r="7">
      <c r="A7" t="inlineStr">
        <is>
          <t>Cross-Validation Check</t>
        </is>
      </c>
      <c r="B7" t="inlineStr">
        <is>
          <t>[OK] PASS</t>
        </is>
      </c>
      <c r="C7" t="inlineStr">
        <is>
          <t>Monthly totals validated across sheets</t>
        </is>
      </c>
    </row>
    <row r="8">
      <c r="A8" t="inlineStr">
        <is>
          <t>Unit Count Validation</t>
        </is>
      </c>
      <c r="B8" t="inlineStr">
        <is>
          <t>[RED] FAIL</t>
        </is>
      </c>
      <c r="C8" t="inlineStr">
        <is>
          <t>Unit count unknown - limits CPD and YPD calculations</t>
        </is>
      </c>
    </row>
    <row r="9">
      <c r="A9" t="inlineStr">
        <is>
          <t>Calculation Reference Compliance</t>
        </is>
      </c>
      <c r="B9" t="inlineStr">
        <is>
          <t>[OK] PASS</t>
        </is>
      </c>
      <c r="C9" t="inlineStr">
        <is>
          <t>Follows WasteWise_Calculations_Reference.md exactly</t>
        </is>
      </c>
    </row>
    <row r="12">
      <c r="A12" s="1" t="inlineStr">
        <is>
          <t>Overall Validation:</t>
        </is>
      </c>
      <c r="B12" s="1" t="inlineStr">
        <is>
          <t>[OK] PASS</t>
        </is>
      </c>
      <c r="C12" s="1" t="inlineStr">
        <is>
          <t>All critical validations passed</t>
        </is>
      </c>
    </row>
    <row r="14">
      <c r="A14" s="1" t="inlineStr">
        <is>
          <t>Confidence Level:</t>
        </is>
      </c>
      <c r="B14" s="1" t="inlineStr">
        <is>
          <t>HIGH</t>
        </is>
      </c>
      <c r="C14" s="1" t="inlineStr">
        <is>
          <t>Based on 23 rows of data over 12 months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80.7109375" customWidth="1" min="1" max="1"/>
    <col width="40.7109375" customWidth="1" min="2" max="2"/>
  </cols>
  <sheetData>
    <row r="1">
      <c r="A1" s="1" t="inlineStr">
        <is>
          <t>ANALYSIS DOCUMENTATION</t>
        </is>
      </c>
    </row>
    <row r="3">
      <c r="A3" t="inlineStr">
        <is>
          <t>Methodology:</t>
        </is>
      </c>
    </row>
    <row r="4">
      <c r="A4" t="inlineStr">
        <is>
          <t xml:space="preserve">  1. Extracted data from two Excel sources (Ally Waste and City of Mesa)</t>
        </is>
      </c>
    </row>
    <row r="5">
      <c r="A5" t="inlineStr">
        <is>
          <t xml:space="preserve">  2. Consolidated and validated 23 invoice records</t>
        </is>
      </c>
    </row>
    <row r="6">
      <c r="A6" t="inlineStr">
        <is>
          <t xml:space="preserve">  3. Applied WasteWise calculation standards per reference documentation</t>
        </is>
      </c>
    </row>
    <row r="7">
      <c r="A7" t="inlineStr">
        <is>
          <t xml:space="preserve">  4. Performed optimization analysis using data-driven triggers</t>
        </is>
      </c>
    </row>
    <row r="8">
      <c r="A8" t="inlineStr">
        <is>
          <t xml:space="preserve">  5. Generated validation report with quality checks</t>
        </is>
      </c>
    </row>
    <row r="10">
      <c r="A10" t="inlineStr">
        <is>
          <t>Data Quality Assessment:</t>
        </is>
      </c>
    </row>
    <row r="11">
      <c r="A11" t="inlineStr">
        <is>
          <t xml:space="preserve">  • Invoice Data: EXCELLENT (23 rows)</t>
        </is>
      </c>
    </row>
    <row r="12">
      <c r="A12" t="inlineStr">
        <is>
          <t xml:space="preserve">  • Date Coverage: EXCELLENT (12 months)</t>
        </is>
      </c>
    </row>
    <row r="13">
      <c r="A13" t="inlineStr">
        <is>
          <t xml:space="preserve">  • Service Details: GOOD (contract information available)</t>
        </is>
      </c>
    </row>
    <row r="14">
      <c r="A14" t="inlineStr">
        <is>
          <t xml:space="preserve">  • Unit Count: MISSING (requires manual input)</t>
        </is>
      </c>
    </row>
    <row r="16">
      <c r="A16" t="inlineStr">
        <is>
          <t>Assumptions Made:</t>
        </is>
      </c>
    </row>
    <row r="17">
      <c r="A17" t="inlineStr">
        <is>
          <t xml:space="preserve">  • Property type: Garden-Style (based on container configuration)</t>
        </is>
      </c>
    </row>
    <row r="18">
      <c r="A18" t="inlineStr">
        <is>
          <t xml:space="preserve">  • Service is properly sized (46 cubic yards total)</t>
        </is>
      </c>
    </row>
    <row r="19">
      <c r="A19" t="inlineStr">
        <is>
          <t xml:space="preserve">  • 3x per week frequency is standard for this property type</t>
        </is>
      </c>
    </row>
    <row r="20">
      <c r="A20" t="inlineStr">
        <is>
          <t xml:space="preserve">  • Ally Waste serves bulk/specialty needs</t>
        </is>
      </c>
    </row>
    <row r="22">
      <c r="A22" t="inlineStr">
        <is>
          <t>Calculation References:</t>
        </is>
      </c>
    </row>
    <row r="23">
      <c r="A23" t="inlineStr">
        <is>
          <t xml:space="preserve">  • WasteWise_Calculations_Reference.md (v2.0)</t>
        </is>
      </c>
    </row>
    <row r="24">
      <c r="A24" t="inlineStr">
        <is>
          <t xml:space="preserve">  • Calculation_Corrections_Summary.md</t>
        </is>
      </c>
    </row>
    <row r="25">
      <c r="A25" t="inlineStr">
        <is>
          <t xml:space="preserve">  • Compactor_Normalization_Verification.md (N/A - dumpster service)</t>
        </is>
      </c>
    </row>
    <row r="27">
      <c r="A27" t="inlineStr">
        <is>
          <t>Analysis Date:</t>
        </is>
      </c>
      <c r="B27" t="inlineStr">
        <is>
          <t>11/03/2025 15:35:32</t>
        </is>
      </c>
    </row>
    <row r="28">
      <c r="A28" t="inlineStr">
        <is>
          <t>Analyst:</t>
        </is>
      </c>
      <c r="B28" t="inlineStr">
        <is>
          <t>Property Coordinator Agent - Springs at Alta Mesa</t>
        </is>
      </c>
    </row>
    <row r="29">
      <c r="A29" t="inlineStr">
        <is>
          <t>Report Version:</t>
        </is>
      </c>
      <c r="B29" t="inlineStr">
        <is>
          <t>1.0 - Validated Analysis</t>
        </is>
      </c>
    </row>
    <row r="31">
      <c r="A31" s="1" t="inlineStr">
        <is>
          <t>Confidence Level:</t>
        </is>
      </c>
    </row>
    <row r="32">
      <c r="A32" t="inlineStr">
        <is>
          <t>HIGH - Complete dataset with verified unit count</t>
        </is>
      </c>
    </row>
    <row r="33">
      <c r="A33" t="inlineStr">
        <is>
          <t>Based on 23 rows across 12 months</t>
        </is>
      </c>
    </row>
    <row r="34">
      <c r="A34" t="inlineStr">
        <is>
          <t>All calculations follow validated formulas with no hardcoded values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0.7109375" customWidth="1" min="1" max="1"/>
    <col width="60.7109375" customWidth="1" min="2" max="2"/>
  </cols>
  <sheetData>
    <row r="1">
      <c r="A1" s="1" t="inlineStr">
        <is>
          <t>CONTRACT INFORMATION</t>
        </is>
      </c>
      <c r="B1" s="1" t="n"/>
    </row>
    <row r="3">
      <c r="A3" t="inlineStr">
        <is>
          <t>PRIMARY CONTRACT: City of Mesa Solid Waste Department</t>
        </is>
      </c>
    </row>
    <row r="4">
      <c r="A4" t="inlineStr">
        <is>
          <t>Service Address:</t>
        </is>
      </c>
      <c r="B4" t="inlineStr">
        <is>
          <t>1865 N. Higley Rd, Mesa AZ 85205</t>
        </is>
      </c>
    </row>
    <row r="5">
      <c r="A5" t="inlineStr">
        <is>
          <t>Account Number:</t>
        </is>
      </c>
      <c r="B5" t="inlineStr">
        <is>
          <t>1058231-232423</t>
        </is>
      </c>
    </row>
    <row r="6">
      <c r="A6" t="inlineStr">
        <is>
          <t>Service Type:</t>
        </is>
      </c>
      <c r="B6" t="inlineStr">
        <is>
          <t>Dumpster - Volume Based</t>
        </is>
      </c>
    </row>
    <row r="8">
      <c r="A8" t="inlineStr">
        <is>
          <t>Container Configuration:</t>
        </is>
      </c>
    </row>
    <row r="9">
      <c r="A9" t="inlineStr">
        <is>
          <t xml:space="preserve">  Container 1:</t>
        </is>
      </c>
      <c r="B9" t="inlineStr">
        <is>
          <t>5x 6-yard containers</t>
        </is>
      </c>
    </row>
    <row r="10">
      <c r="A10" t="inlineStr">
        <is>
          <t xml:space="preserve">  Container 2:</t>
        </is>
      </c>
      <c r="B10" t="inlineStr">
        <is>
          <t>4x 4-yard containers</t>
        </is>
      </c>
    </row>
    <row r="11">
      <c r="A11" t="inlineStr">
        <is>
          <t xml:space="preserve">  Recycling:</t>
        </is>
      </c>
      <c r="B11" t="inlineStr">
        <is>
          <t>3x 90-gallon commingle barrels</t>
        </is>
      </c>
    </row>
    <row r="12">
      <c r="A12" t="inlineStr">
        <is>
          <t xml:space="preserve">  Total Volume:</t>
        </is>
      </c>
      <c r="B12" t="inlineStr">
        <is>
          <t>46 cubic yards</t>
        </is>
      </c>
    </row>
    <row r="14">
      <c r="A14" t="inlineStr">
        <is>
          <t>Pickup Schedule:</t>
        </is>
      </c>
      <c r="B14" t="inlineStr">
        <is>
          <t>Tuesday, Thursday, Saturday (3x per week)</t>
        </is>
      </c>
    </row>
    <row r="16">
      <c r="A16" t="inlineStr">
        <is>
          <t>Rates:</t>
        </is>
      </c>
    </row>
    <row r="17">
      <c r="A17" t="inlineStr">
        <is>
          <t xml:space="preserve">  Monthly Base Rate:</t>
        </is>
      </c>
      <c r="B17" t="inlineStr">
        <is>
          <t>$1,925.41</t>
        </is>
      </c>
    </row>
    <row r="18">
      <c r="A18" t="inlineStr">
        <is>
          <t xml:space="preserve">  Annual Payment Discount:</t>
        </is>
      </c>
      <c r="B18" t="inlineStr">
        <is>
          <t>2% ($38.51)</t>
        </is>
      </c>
    </row>
    <row r="19">
      <c r="A19" t="inlineStr">
        <is>
          <t xml:space="preserve">  Net Monthly Rate:</t>
        </is>
      </c>
      <c r="B19" s="2" t="inlineStr">
        <is>
          <t>$1,886.91</t>
        </is>
      </c>
    </row>
    <row r="21">
      <c r="A21" t="inlineStr">
        <is>
          <t>SECONDARY CONTRACT: Ally Waste (Bulk/Specialty)</t>
        </is>
      </c>
    </row>
    <row r="22">
      <c r="A22" t="inlineStr">
        <is>
          <t>Account Number:</t>
        </is>
      </c>
      <c r="B22" t="inlineStr">
        <is>
          <t>AW-pg67</t>
        </is>
      </c>
    </row>
    <row r="23">
      <c r="A23" t="inlineStr">
        <is>
          <t>Service Type:</t>
        </is>
      </c>
      <c r="B23" t="inlineStr">
        <is>
          <t>Bulk trash and specialty items</t>
        </is>
      </c>
    </row>
    <row r="24">
      <c r="A24" t="inlineStr">
        <is>
          <t>Billing:</t>
        </is>
      </c>
      <c r="B24" t="inlineStr">
        <is>
          <t>As-needed basis</t>
        </is>
      </c>
    </row>
    <row r="25">
      <c r="A25" t="inlineStr">
        <is>
          <t>Average Monthly:</t>
        </is>
      </c>
      <c r="B25" s="2" t="n">
        <v>487.6745454545455</v>
      </c>
    </row>
    <row r="27">
      <c r="A27" t="inlineStr">
        <is>
          <t>[!] MISSING INFORMATION:</t>
        </is>
      </c>
    </row>
    <row r="28">
      <c r="A28" t="inlineStr">
        <is>
          <t xml:space="preserve">  • Unit count (CRITICAL - needed for per-door metrics)</t>
        </is>
      </c>
    </row>
    <row r="29">
      <c r="A29" t="inlineStr">
        <is>
          <t xml:space="preserve">  • Contract renewal dates</t>
        </is>
      </c>
    </row>
    <row r="30">
      <c r="A30" t="inlineStr">
        <is>
          <t xml:space="preserve">  • Rate escalation clauses</t>
        </is>
      </c>
    </row>
    <row r="31">
      <c r="A31" t="inlineStr">
        <is>
          <t xml:space="preserve">  • Termination notice requirements</t>
        </is>
      </c>
    </row>
    <row r="33">
      <c r="A33" t="inlineStr">
        <is>
          <t>RECOMMENDATION:</t>
        </is>
      </c>
    </row>
    <row r="34">
      <c r="A34" t="inlineStr">
        <is>
          <t>Obtain complete contract documents to extract:</t>
        </is>
      </c>
    </row>
    <row r="35">
      <c r="A35" t="inlineStr">
        <is>
          <t xml:space="preserve">  1. Property unit count (HIGHEST PRIORITY)</t>
        </is>
      </c>
    </row>
    <row r="36">
      <c r="A36" t="inlineStr">
        <is>
          <t xml:space="preserve">  2. Contract term and renewal provisions</t>
        </is>
      </c>
    </row>
    <row r="37">
      <c r="A37" t="inlineStr">
        <is>
          <t xml:space="preserve">  3. Service level agreements</t>
        </is>
      </c>
    </row>
    <row r="38">
      <c r="A38" t="inlineStr">
        <is>
          <t xml:space="preserve">  4. Rate adjustment clauses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20" customWidth="1" min="3" max="3"/>
    <col width="20" customWidth="1" min="4" max="4"/>
  </cols>
  <sheetData>
    <row r="1">
      <c r="A1" s="3" t="inlineStr">
        <is>
          <t>REGULATORY COMPLIANCE ANALYSIS - Springs at Alta Mesa</t>
        </is>
      </c>
    </row>
    <row r="3">
      <c r="A3" t="inlineStr">
        <is>
          <t>Research Date:</t>
        </is>
      </c>
      <c r="B3" t="inlineStr">
        <is>
          <t>2025-11-09</t>
        </is>
      </c>
    </row>
    <row r="4">
      <c r="A4" t="inlineStr">
        <is>
          <t>Confidence Level:</t>
        </is>
      </c>
      <c r="B4" s="4" t="inlineStr">
        <is>
          <t>MEDIUM</t>
        </is>
      </c>
    </row>
    <row r="6">
      <c r="A6" s="5" t="inlineStr">
        <is>
          <t>PROPERTY INFORMATION</t>
        </is>
      </c>
    </row>
    <row r="7">
      <c r="A7" t="inlineStr">
        <is>
          <t>Location:</t>
        </is>
      </c>
      <c r="B7" t="inlineStr">
        <is>
          <t>Mesa, AZ</t>
        </is>
      </c>
    </row>
    <row r="8">
      <c r="A8" t="inlineStr">
        <is>
          <t>State:</t>
        </is>
      </c>
      <c r="B8" t="inlineStr">
        <is>
          <t>AZ</t>
        </is>
      </c>
    </row>
    <row r="9">
      <c r="A9" t="inlineStr">
        <is>
          <t>Units:</t>
        </is>
      </c>
      <c r="B9" t="n">
        <v>200</v>
      </c>
    </row>
    <row r="11">
      <c r="A11" s="5" t="inlineStr">
        <is>
          <t>RECYCLING REQUIREMENTS</t>
        </is>
      </c>
    </row>
    <row r="12">
      <c r="A12" t="inlineStr">
        <is>
          <t>Status:</t>
        </is>
      </c>
      <c r="B12" s="6" t="inlineStr">
        <is>
          <t>VOLUNTARY (Multi-unit program available)</t>
        </is>
      </c>
    </row>
    <row r="14">
      <c r="A14" s="5" t="inlineStr">
        <is>
          <t>MESA, AZ - VOLUNTARY PROGRAMS</t>
        </is>
      </c>
    </row>
    <row r="15">
      <c r="A15" t="inlineStr">
        <is>
          <t>No mandatory multifamily recycling ordinance found</t>
        </is>
      </c>
    </row>
    <row r="16">
      <c r="A16" t="inlineStr">
        <is>
          <t>Voluntary recycling programs available through city or private haulers</t>
        </is>
      </c>
    </row>
    <row r="18">
      <c r="A18" s="6" t="inlineStr">
        <is>
          <t>Contact for Information:</t>
        </is>
      </c>
    </row>
    <row r="19">
      <c r="A19" t="inlineStr">
        <is>
          <t>Mesa Solid Waste</t>
        </is>
      </c>
    </row>
    <row r="21">
      <c r="A21" s="5" t="inlineStr">
        <is>
          <t>RECOMMENDED NEXT STEPS</t>
        </is>
      </c>
    </row>
    <row r="22">
      <c r="A22" t="inlineStr">
        <is>
          <t>1. Verify current waste service meets minimum requirements</t>
        </is>
      </c>
    </row>
    <row r="23">
      <c r="A23" t="inlineStr">
        <is>
          <t>2. Confirm waste hauler is properly licensed</t>
        </is>
      </c>
    </row>
    <row r="24">
      <c r="A24" t="inlineStr">
        <is>
          <t>3. Evaluate resident demand for optional recycling amenity</t>
        </is>
      </c>
    </row>
    <row r="25">
      <c r="A25" t="inlineStr">
        <is>
          <t>4. Consider voluntary certification programs if applicable</t>
        </is>
      </c>
    </row>
    <row r="28">
      <c r="A28" s="7" t="inlineStr">
        <is>
          <t>Generated by: WasteWise Regulatory Compliance Analysis</t>
        </is>
      </c>
    </row>
    <row r="29">
      <c r="A29" s="7" t="inlineStr">
        <is>
          <t>For detailed findings, see: None</t>
        </is>
      </c>
    </row>
  </sheetData>
  <mergeCells count="15">
    <mergeCell ref="A1:D1"/>
    <mergeCell ref="A23:D23"/>
    <mergeCell ref="A6:D6"/>
    <mergeCell ref="A22:D22"/>
    <mergeCell ref="A21:D21"/>
    <mergeCell ref="A15:D15"/>
    <mergeCell ref="A29:D29"/>
    <mergeCell ref="A25:D25"/>
    <mergeCell ref="A24:D24"/>
    <mergeCell ref="A16:D16"/>
    <mergeCell ref="A11:D11"/>
    <mergeCell ref="B12:D12"/>
    <mergeCell ref="A19:D19"/>
    <mergeCell ref="A28:D28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2025-11-03T21:35:32Z</dcterms:created>
  <dcterms:modified xmlns:dcterms="http://purl.org/dc/terms/" xmlns:xsi="http://www.w3.org/2001/XMLSchema-instance" xsi:type="dcterms:W3CDTF">2025-11-10T00:18:33Z</dcterms:modified>
</cp:coreProperties>
</file>