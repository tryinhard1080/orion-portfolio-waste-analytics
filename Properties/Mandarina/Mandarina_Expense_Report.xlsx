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nthly Expense Detail" sheetId="2" state="visible" r:id="rId2"/>
    <sheet xmlns:r="http://schemas.openxmlformats.org/officeDocument/2006/relationships" name="Budget Projection" sheetId="3" state="visible" r:id="rId3"/>
    <sheet xmlns:r="http://schemas.openxmlformats.org/officeDocument/2006/relationships" name="Service Details" sheetId="4" state="visible" r:id="rId4"/>
    <sheet xmlns:r="http://schemas.openxmlformats.org/officeDocument/2006/relationships" name="Vali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0">
    <font>
      <name val="Calibri"/>
      <family val="2"/>
      <color theme="1"/>
      <sz val="11"/>
      <scheme val="minor"/>
    </font>
    <font>
      <b val="1"/>
      <sz val="16"/>
    </font>
    <font>
      <i val="1"/>
      <sz val="10"/>
    </font>
    <font>
      <b val="1"/>
      <color rgb="00FFFFFF"/>
      <sz val="14"/>
    </font>
    <font>
      <b val="1"/>
    </font>
    <font>
      <b val="1"/>
      <color rgb="00C00000"/>
    </font>
    <font>
      <b val="1"/>
      <color rgb="00FFFFFF"/>
    </font>
    <font>
      <b val="1"/>
      <sz val="14"/>
    </font>
    <font>
      <b val="1"/>
      <sz val="12"/>
    </font>
    <font>
      <b val="1"/>
      <color rgb="0000B05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  <xf numFmtId="164" fontId="4" fillId="0" borderId="0" pivotButton="0" quotePrefix="0" xfId="0"/>
    <xf numFmtId="0" fontId="7" fillId="0" borderId="0" pivotButton="0" quotePrefix="0" xfId="0"/>
    <xf numFmtId="0" fontId="6" fillId="2" borderId="0" pivotButton="0" quotePrefix="0" xfId="0"/>
    <xf numFmtId="164" fontId="4" fillId="4" borderId="0" pivotButton="0" quotePrefix="0" xfId="0"/>
    <xf numFmtId="165" fontId="0" fillId="5" borderId="0" pivotButton="0" quotePrefix="0" xfId="0"/>
    <xf numFmtId="165" fontId="0" fillId="0" borderId="0" pivotButton="0" quotePrefix="0" xfId="0"/>
    <xf numFmtId="165" fontId="0" fillId="6" borderId="0" pivotButton="0" quotePrefix="0" xfId="0"/>
    <xf numFmtId="0" fontId="8" fillId="3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30" customWidth="1" min="4" max="4"/>
  </cols>
  <sheetData>
    <row r="1">
      <c r="A1" s="1" t="inlineStr">
        <is>
          <t>Mandarina - Expense Analysis</t>
        </is>
      </c>
    </row>
    <row r="2">
      <c r="A2" s="2" t="inlineStr">
        <is>
          <t>Generated: November 13, 2025 at 07:37 AM</t>
        </is>
      </c>
    </row>
    <row r="4">
      <c r="A4" s="3" t="inlineStr">
        <is>
          <t>PROPERTY INFORMATION</t>
        </is>
      </c>
    </row>
    <row r="5">
      <c r="A5" s="4" t="inlineStr">
        <is>
          <t>Property Name:</t>
        </is>
      </c>
      <c r="B5" t="inlineStr">
        <is>
          <t>Mandarina</t>
        </is>
      </c>
    </row>
    <row r="6">
      <c r="A6" s="4" t="inlineStr">
        <is>
          <t>Units:</t>
        </is>
      </c>
      <c r="B6" t="n">
        <v>180</v>
      </c>
    </row>
    <row r="7">
      <c r="A7" s="4" t="inlineStr">
        <is>
          <t>State:</t>
        </is>
      </c>
      <c r="B7" t="inlineStr">
        <is>
          <t>AZ</t>
        </is>
      </c>
    </row>
    <row r="8">
      <c r="A8" s="4" t="inlineStr">
        <is>
          <t>Service Type:</t>
        </is>
      </c>
      <c r="B8" t="inlineStr">
        <is>
          <t>Dumpster</t>
        </is>
      </c>
    </row>
    <row r="9">
      <c r="A9" s="4" t="inlineStr">
        <is>
          <t>Data Pattern:</t>
        </is>
      </c>
      <c r="B9" t="inlineStr">
        <is>
          <t>C</t>
        </is>
      </c>
    </row>
    <row r="11">
      <c r="A11" s="3" t="inlineStr">
        <is>
          <t>FINANCIAL SUMMARY</t>
        </is>
      </c>
    </row>
    <row r="12">
      <c r="A12" s="5" t="inlineStr">
        <is>
          <t>Metric</t>
        </is>
      </c>
      <c r="B12" s="5" t="inlineStr">
        <is>
          <t>Value</t>
        </is>
      </c>
      <c r="C12" s="5" t="inlineStr">
        <is>
          <t>Per Unit</t>
        </is>
      </c>
      <c r="D12" s="5" t="inlineStr">
        <is>
          <t>Notes</t>
        </is>
      </c>
    </row>
    <row r="13">
      <c r="A13" t="inlineStr">
        <is>
          <t>Total Spend</t>
        </is>
      </c>
      <c r="B13" t="inlineStr">
        <is>
          <t>$34,460.72</t>
        </is>
      </c>
      <c r="C13" t="inlineStr">
        <is>
          <t>$191.45</t>
        </is>
      </c>
      <c r="D13" t="inlineStr">
        <is>
          <t>12 months</t>
        </is>
      </c>
    </row>
    <row r="14">
      <c r="A14" t="inlineStr">
        <is>
          <t>Average Monthly</t>
        </is>
      </c>
      <c r="B14" t="inlineStr">
        <is>
          <t>$2,871.73</t>
        </is>
      </c>
      <c r="C14" t="inlineStr">
        <is>
          <t>$15.95</t>
        </is>
      </c>
      <c r="D14" t="inlineStr">
        <is>
          <t>Per unit per month</t>
        </is>
      </c>
    </row>
    <row r="15">
      <c r="A15" t="inlineStr">
        <is>
          <t>Highest Month</t>
        </is>
      </c>
      <c r="B15" t="inlineStr">
        <is>
          <t>$3,229.84</t>
        </is>
      </c>
      <c r="C15" t="inlineStr">
        <is>
          <t>$17.94</t>
        </is>
      </c>
      <c r="D15" t="inlineStr">
        <is>
          <t>2025-06</t>
        </is>
      </c>
    </row>
    <row r="16">
      <c r="A16" t="inlineStr">
        <is>
          <t>Lowest Month</t>
        </is>
      </c>
      <c r="B16" t="inlineStr">
        <is>
          <t>$2,295.55</t>
        </is>
      </c>
      <c r="C16" t="inlineStr">
        <is>
          <t>$12.75</t>
        </is>
      </c>
      <c r="D16" t="inlineStr">
        <is>
          <t>2025-01</t>
        </is>
      </c>
    </row>
    <row r="18">
      <c r="A18" s="3" t="inlineStr">
        <is>
          <t>ANOMALIES DETECTED</t>
        </is>
      </c>
    </row>
    <row r="19">
      <c r="A19" s="6" t="inlineStr">
        <is>
          <t>1 months flagged for review</t>
        </is>
      </c>
    </row>
    <row r="20">
      <c r="A20" t="inlineStr">
        <is>
          <t>2025-02</t>
        </is>
      </c>
      <c r="B20" t="inlineStr">
        <is>
          <t>$2,793.90</t>
        </is>
      </c>
      <c r="C20" t="inlineStr">
        <is>
          <t>Cost increased 21.7% from prior month</t>
        </is>
      </c>
    </row>
  </sheetData>
  <mergeCells count="6">
    <mergeCell ref="A4:B4"/>
    <mergeCell ref="A1:D1"/>
    <mergeCell ref="C20:D20"/>
    <mergeCell ref="A18:D18"/>
    <mergeCell ref="A2:D2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12" customWidth="1" min="8" max="8"/>
    <col width="40" customWidth="1" min="9" max="9"/>
  </cols>
  <sheetData>
    <row r="1">
      <c r="A1" s="7" t="inlineStr">
        <is>
          <t>Month</t>
        </is>
      </c>
      <c r="B1" s="7" t="inlineStr">
        <is>
          <t>Invoice Number(s)</t>
        </is>
      </c>
      <c r="C1" s="7" t="inlineStr">
        <is>
          <t>Invoice Date</t>
        </is>
      </c>
      <c r="D1" s="7" t="inlineStr">
        <is>
          <t>Vendor</t>
        </is>
      </c>
      <c r="E1" s="7" t="inlineStr">
        <is>
          <t>Amount</t>
        </is>
      </c>
      <c r="F1" s="7" t="inlineStr">
        <is>
          <t>Cost Per Door</t>
        </is>
      </c>
      <c r="G1" s="7" t="inlineStr">
        <is>
          <t>YTD Total</t>
        </is>
      </c>
      <c r="H1" s="7" t="inlineStr">
        <is>
          <t>YTD Avg CPD</t>
        </is>
      </c>
      <c r="I1" s="7" t="inlineStr">
        <is>
          <t>Notes/Flags</t>
        </is>
      </c>
    </row>
    <row r="2">
      <c r="A2" t="inlineStr">
        <is>
          <t>2024-10</t>
        </is>
      </c>
      <c r="B2" t="inlineStr">
        <is>
          <t>41953, 5998169-1571-5, RI1370230</t>
        </is>
      </c>
      <c r="C2" t="inlineStr">
        <is>
          <t>2024-10-15</t>
        </is>
      </c>
      <c r="D2" t="inlineStr">
        <is>
          <t>Ally Waste, Waste Management, Waste Management</t>
        </is>
      </c>
      <c r="E2" s="8" t="n">
        <v>2798.28</v>
      </c>
      <c r="F2" s="8" t="n">
        <v>15.546</v>
      </c>
      <c r="G2" s="8" t="n">
        <v>2798.28</v>
      </c>
      <c r="H2" s="8" t="n">
        <v>2798.28</v>
      </c>
      <c r="I2" t="inlineStr"/>
    </row>
    <row r="3">
      <c r="A3" t="inlineStr">
        <is>
          <t>2024-11</t>
        </is>
      </c>
      <c r="B3" t="inlineStr">
        <is>
          <t>43819, MONTHLY-Waste-Management---Hauling-2024-11, RI1376420</t>
        </is>
      </c>
      <c r="C3" t="inlineStr">
        <is>
          <t>2024-11-01</t>
        </is>
      </c>
      <c r="D3" t="inlineStr">
        <is>
          <t>Ally Waste, Waste Management, Waste Management</t>
        </is>
      </c>
      <c r="E3" s="8" t="n">
        <v>3207.41</v>
      </c>
      <c r="F3" s="8" t="n">
        <v>17.81894444444444</v>
      </c>
      <c r="G3" s="8" t="n">
        <v>6005.69</v>
      </c>
      <c r="H3" s="8" t="n">
        <v>3002.845</v>
      </c>
      <c r="I3" t="inlineStr"/>
    </row>
    <row r="4">
      <c r="A4" t="inlineStr">
        <is>
          <t>2024-12</t>
        </is>
      </c>
      <c r="B4" t="inlineStr">
        <is>
          <t>46450, MONTHLY-Waste-Management---Hauling-2024-12, RI1382601</t>
        </is>
      </c>
      <c r="C4" t="inlineStr">
        <is>
          <t>2024-12-01</t>
        </is>
      </c>
      <c r="D4" t="inlineStr">
        <is>
          <t>Ally Waste, Waste Management, Waste Management</t>
        </is>
      </c>
      <c r="E4" s="8" t="n">
        <v>2829.54</v>
      </c>
      <c r="F4" s="8" t="n">
        <v>15.71966666666667</v>
      </c>
      <c r="G4" s="8" t="n">
        <v>8835.23</v>
      </c>
      <c r="H4" s="8" t="n">
        <v>2945.076666666666</v>
      </c>
      <c r="I4" t="inlineStr"/>
    </row>
    <row r="5">
      <c r="A5" t="inlineStr">
        <is>
          <t>2025-01</t>
        </is>
      </c>
      <c r="B5" t="inlineStr">
        <is>
          <t>48031, MONTHLY-Waste-Management---Hauling-2025-01, RI1388784</t>
        </is>
      </c>
      <c r="C5" t="inlineStr">
        <is>
          <t>2025-01-01</t>
        </is>
      </c>
      <c r="D5" t="inlineStr">
        <is>
          <t>Ally Waste, Waste Management, Waste Management</t>
        </is>
      </c>
      <c r="E5" s="8" t="n">
        <v>2295.55</v>
      </c>
      <c r="F5" s="8" t="n">
        <v>12.75305555555556</v>
      </c>
      <c r="G5" s="8" t="n">
        <v>11130.78</v>
      </c>
      <c r="H5" s="8" t="n">
        <v>2782.695</v>
      </c>
      <c r="I5" t="inlineStr"/>
    </row>
    <row r="6">
      <c r="A6" s="9" t="inlineStr">
        <is>
          <t>2025-02</t>
        </is>
      </c>
      <c r="B6" s="9" t="inlineStr">
        <is>
          <t>50794, 6029558-1571-0, RI1394874</t>
        </is>
      </c>
      <c r="C6" s="9" t="inlineStr">
        <is>
          <t>2025-02-01</t>
        </is>
      </c>
      <c r="D6" s="9" t="inlineStr">
        <is>
          <t>Ally Waste, Waste Management, Waste Management</t>
        </is>
      </c>
      <c r="E6" s="10" t="n">
        <v>2793.9</v>
      </c>
      <c r="F6" s="10" t="n">
        <v>15.52166666666667</v>
      </c>
      <c r="G6" s="10" t="n">
        <v>13924.68</v>
      </c>
      <c r="H6" s="10" t="n">
        <v>2784.936</v>
      </c>
      <c r="I6" s="9" t="inlineStr">
        <is>
          <t>Cost increased 21.7% from prior month</t>
        </is>
      </c>
    </row>
    <row r="7">
      <c r="A7" t="inlineStr">
        <is>
          <t>2025-03</t>
        </is>
      </c>
      <c r="B7" t="inlineStr">
        <is>
          <t>54338, 6037396-1571-5, RI1401006</t>
        </is>
      </c>
      <c r="C7" t="inlineStr">
        <is>
          <t>2025-03-01</t>
        </is>
      </c>
      <c r="D7" t="inlineStr">
        <is>
          <t>Ally Waste, Waste Management, Waste Management</t>
        </is>
      </c>
      <c r="E7" s="8" t="n">
        <v>3160.57</v>
      </c>
      <c r="F7" s="8" t="n">
        <v>17.55872222222222</v>
      </c>
      <c r="G7" s="8" t="n">
        <v>17085.25</v>
      </c>
      <c r="H7" s="8" t="n">
        <v>2847.541666666667</v>
      </c>
      <c r="I7" t="inlineStr"/>
    </row>
    <row r="8">
      <c r="A8" t="inlineStr">
        <is>
          <t>2025-04</t>
        </is>
      </c>
      <c r="B8" t="inlineStr">
        <is>
          <t>56772, 6045311-1571-4, RI1407295</t>
        </is>
      </c>
      <c r="C8" t="inlineStr">
        <is>
          <t>2025-04-01</t>
        </is>
      </c>
      <c r="D8" t="inlineStr">
        <is>
          <t>Ally Waste, Waste Management, Waste Management</t>
        </is>
      </c>
      <c r="E8" s="8" t="n">
        <v>2917.95</v>
      </c>
      <c r="F8" s="8" t="n">
        <v>16.21083333333333</v>
      </c>
      <c r="G8" s="8" t="n">
        <v>20003.2</v>
      </c>
      <c r="H8" s="8" t="n">
        <v>2857.6</v>
      </c>
      <c r="I8" t="inlineStr"/>
    </row>
    <row r="9">
      <c r="A9" t="inlineStr">
        <is>
          <t>2025-05</t>
        </is>
      </c>
      <c r="B9" t="inlineStr">
        <is>
          <t>60038, 6052932-1571-7, RI1413707</t>
        </is>
      </c>
      <c r="C9" t="inlineStr">
        <is>
          <t>2025-05-01</t>
        </is>
      </c>
      <c r="D9" t="inlineStr">
        <is>
          <t>Ally Waste, Waste Management, Waste Management</t>
        </is>
      </c>
      <c r="E9" s="8" t="n">
        <v>2776.29</v>
      </c>
      <c r="F9" s="8" t="n">
        <v>15.42383333333333</v>
      </c>
      <c r="G9" s="8" t="n">
        <v>22779.49</v>
      </c>
      <c r="H9" s="8" t="n">
        <v>2847.43625</v>
      </c>
      <c r="I9" t="inlineStr"/>
    </row>
    <row r="10">
      <c r="A10" t="inlineStr">
        <is>
          <t>2025-06</t>
        </is>
      </c>
      <c r="B10" t="inlineStr">
        <is>
          <t>6060583-1571-8, 61715, RI1419720</t>
        </is>
      </c>
      <c r="C10" t="inlineStr">
        <is>
          <t>2025-06-01</t>
        </is>
      </c>
      <c r="D10" t="inlineStr">
        <is>
          <t>Ally Waste, Waste Management, Waste Management</t>
        </is>
      </c>
      <c r="E10" s="8" t="n">
        <v>3229.84</v>
      </c>
      <c r="F10" s="8" t="n">
        <v>17.94355555555556</v>
      </c>
      <c r="G10" s="8" t="n">
        <v>26009.33</v>
      </c>
      <c r="H10" s="8" t="n">
        <v>2889.925555555556</v>
      </c>
      <c r="I10" t="inlineStr"/>
    </row>
    <row r="11">
      <c r="A11" t="inlineStr">
        <is>
          <t>2025-07</t>
        </is>
      </c>
      <c r="B11" t="inlineStr">
        <is>
          <t>6073647-1571-6, 64883, RI1425775</t>
        </is>
      </c>
      <c r="C11" t="inlineStr">
        <is>
          <t>2025-07-01</t>
        </is>
      </c>
      <c r="D11" t="inlineStr">
        <is>
          <t>Ally Waste, Waste Management, Waste Management</t>
        </is>
      </c>
      <c r="E11" s="8" t="n">
        <v>2796.39</v>
      </c>
      <c r="F11" s="8" t="n">
        <v>15.5355</v>
      </c>
      <c r="G11" s="8" t="n">
        <v>28805.72</v>
      </c>
      <c r="H11" s="8" t="n">
        <v>2880.572</v>
      </c>
      <c r="I11" t="inlineStr"/>
    </row>
    <row r="12">
      <c r="A12" t="inlineStr">
        <is>
          <t>2025-08</t>
        </is>
      </c>
      <c r="B12" t="inlineStr">
        <is>
          <t>6081232-1571-7, 67841, RI1432864</t>
        </is>
      </c>
      <c r="C12" t="inlineStr">
        <is>
          <t>2025-08-01</t>
        </is>
      </c>
      <c r="D12" t="inlineStr">
        <is>
          <t>Ally Waste, Waste Management, Waste Management</t>
        </is>
      </c>
      <c r="E12" s="8" t="n">
        <v>2786.04</v>
      </c>
      <c r="F12" s="8" t="n">
        <v>15.478</v>
      </c>
      <c r="G12" s="8" t="n">
        <v>31591.76</v>
      </c>
      <c r="H12" s="8" t="n">
        <v>2871.978181818182</v>
      </c>
      <c r="I12" t="inlineStr"/>
    </row>
    <row r="13">
      <c r="A13" t="inlineStr">
        <is>
          <t>2025-09</t>
        </is>
      </c>
      <c r="B13" t="inlineStr">
        <is>
          <t>6088820-1571-2, 72866, RI1439015</t>
        </is>
      </c>
      <c r="C13" t="inlineStr">
        <is>
          <t>2025-09-01</t>
        </is>
      </c>
      <c r="D13" t="inlineStr">
        <is>
          <t>Ally Waste, Waste Management, Waste Management</t>
        </is>
      </c>
      <c r="E13" s="8" t="n">
        <v>2868.96</v>
      </c>
      <c r="F13" s="8" t="n">
        <v>15.93866666666667</v>
      </c>
      <c r="G13" s="8" t="n">
        <v>34460.72</v>
      </c>
      <c r="H13" s="8" t="n">
        <v>2871.726666666667</v>
      </c>
      <c r="I13" t="inlineStr"/>
    </row>
    <row r="14">
      <c r="D14" s="4" t="inlineStr">
        <is>
          <t>TOTAL:</t>
        </is>
      </c>
      <c r="E14" s="11">
        <f>SUM(E2:E13)</f>
        <v/>
      </c>
      <c r="F14" s="11">
        <f>AVERAGE(F2:F13)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30" customWidth="1" min="6" max="6"/>
  </cols>
  <sheetData>
    <row r="1">
      <c r="A1" s="12" t="inlineStr">
        <is>
          <t>Mandarina - Budget Projection</t>
        </is>
      </c>
    </row>
    <row r="2">
      <c r="A2" s="2" t="inlineStr">
        <is>
          <t>Based on actual expense data for budget planning</t>
        </is>
      </c>
    </row>
    <row r="4">
      <c r="A4" s="13" t="inlineStr">
        <is>
          <t>HISTORICAL AVERAGES</t>
        </is>
      </c>
    </row>
    <row r="5">
      <c r="A5" s="4" t="inlineStr">
        <is>
          <t>Average Monthly Expense:</t>
        </is>
      </c>
      <c r="B5" s="8" t="n">
        <v>2871.726666666667</v>
      </c>
    </row>
    <row r="6">
      <c r="A6" s="4" t="inlineStr">
        <is>
          <t>Average Cost Per Door:</t>
        </is>
      </c>
      <c r="B6" s="8" t="n">
        <v>15.95403703703704</v>
      </c>
    </row>
    <row r="7">
      <c r="A7" s="4" t="inlineStr">
        <is>
          <t>Data Period:</t>
        </is>
      </c>
      <c r="B7" t="inlineStr">
        <is>
          <t>12 months (2024-10 to 2025-09)</t>
        </is>
      </c>
    </row>
    <row r="9">
      <c r="A9" s="13" t="inlineStr">
        <is>
          <t>BUDGET PROJECTION (Next 12 Months)</t>
        </is>
      </c>
    </row>
    <row r="10">
      <c r="A10" s="5" t="inlineStr">
        <is>
          <t>Period</t>
        </is>
      </c>
      <c r="B10" s="5" t="inlineStr">
        <is>
          <t>Projected Monthly</t>
        </is>
      </c>
      <c r="C10" s="5" t="inlineStr">
        <is>
          <t>Cost Per Door</t>
        </is>
      </c>
      <c r="D10" s="5" t="inlineStr">
        <is>
          <t>Quarterly Total</t>
        </is>
      </c>
      <c r="E10" s="5" t="inlineStr">
        <is>
          <t>Annual Total</t>
        </is>
      </c>
      <c r="F10" s="5" t="inlineStr">
        <is>
          <t>Notes</t>
        </is>
      </c>
    </row>
    <row r="11">
      <c r="A11" t="inlineStr">
        <is>
          <t>Q1</t>
        </is>
      </c>
      <c r="B11" s="8" t="n">
        <v>2871.726666666667</v>
      </c>
      <c r="C11" s="8" t="n">
        <v>15.95403703703704</v>
      </c>
      <c r="D11" s="8" t="n">
        <v>8615.18</v>
      </c>
      <c r="E11" s="8" t="n">
        <v>8615.18</v>
      </c>
      <c r="F11" t="inlineStr">
        <is>
          <t>Based on historical average</t>
        </is>
      </c>
    </row>
    <row r="12">
      <c r="A12" t="inlineStr">
        <is>
          <t>Q2</t>
        </is>
      </c>
      <c r="B12" s="8" t="n">
        <v>2871.726666666667</v>
      </c>
      <c r="C12" s="8" t="n">
        <v>15.95403703703704</v>
      </c>
      <c r="D12" s="8" t="n">
        <v>8615.18</v>
      </c>
      <c r="E12" s="8" t="n">
        <v>17230.36</v>
      </c>
      <c r="F12" t="inlineStr">
        <is>
          <t>Based on historical average</t>
        </is>
      </c>
    </row>
    <row r="13">
      <c r="A13" t="inlineStr">
        <is>
          <t>Q3</t>
        </is>
      </c>
      <c r="B13" s="8" t="n">
        <v>2871.726666666667</v>
      </c>
      <c r="C13" s="8" t="n">
        <v>15.95403703703704</v>
      </c>
      <c r="D13" s="8" t="n">
        <v>8615.18</v>
      </c>
      <c r="E13" s="8" t="n">
        <v>25845.54</v>
      </c>
      <c r="F13" t="inlineStr">
        <is>
          <t>Based on historical average</t>
        </is>
      </c>
    </row>
    <row r="14">
      <c r="A14" t="inlineStr">
        <is>
          <t>Q4</t>
        </is>
      </c>
      <c r="B14" s="8" t="n">
        <v>2871.726666666667</v>
      </c>
      <c r="C14" s="8" t="n">
        <v>15.95403703703704</v>
      </c>
      <c r="D14" s="8" t="n">
        <v>8615.18</v>
      </c>
      <c r="E14" s="8" t="n">
        <v>34460.72</v>
      </c>
      <c r="F14" t="inlineStr">
        <is>
          <t>Based on historical average</t>
        </is>
      </c>
    </row>
    <row r="15">
      <c r="A15" s="4" t="inlineStr">
        <is>
          <t>ANNUAL TOTAL:</t>
        </is>
      </c>
      <c r="E15" s="14" t="n">
        <v>34460.72</v>
      </c>
    </row>
    <row r="17">
      <c r="A17" s="13" t="inlineStr">
        <is>
          <t>VARIANCE SCENARIOS</t>
        </is>
      </c>
    </row>
    <row r="18">
      <c r="A18" s="5" t="inlineStr">
        <is>
          <t>Scenario</t>
        </is>
      </c>
      <c r="B18" s="5" t="inlineStr">
        <is>
          <t>Monthly</t>
        </is>
      </c>
      <c r="C18" s="5" t="inlineStr">
        <is>
          <t>Annual</t>
        </is>
      </c>
      <c r="D18" s="5" t="inlineStr">
        <is>
          <t>Variance</t>
        </is>
      </c>
    </row>
    <row r="19">
      <c r="A19" t="inlineStr">
        <is>
          <t>Best Case (-10%)</t>
        </is>
      </c>
      <c r="B19" s="8" t="n">
        <v>2584.554</v>
      </c>
      <c r="C19" s="8" t="n">
        <v>31014.648</v>
      </c>
      <c r="D19" s="15" t="n">
        <v>-0.1</v>
      </c>
    </row>
    <row r="20">
      <c r="A20" t="inlineStr">
        <is>
          <t>Expected (Baseline)</t>
        </is>
      </c>
      <c r="B20" s="8" t="n">
        <v>2871.726666666667</v>
      </c>
      <c r="C20" s="8" t="n">
        <v>34460.72</v>
      </c>
      <c r="D20" s="16" t="n">
        <v>0</v>
      </c>
    </row>
    <row r="21">
      <c r="A21" t="inlineStr">
        <is>
          <t>Conservative (+10%)</t>
        </is>
      </c>
      <c r="B21" s="8" t="n">
        <v>3158.899333333334</v>
      </c>
      <c r="C21" s="8" t="n">
        <v>37906.792</v>
      </c>
      <c r="D21" s="16" t="n">
        <v>0.1</v>
      </c>
    </row>
    <row r="22">
      <c r="A22" t="inlineStr">
        <is>
          <t>Worst Case (+20%)</t>
        </is>
      </c>
      <c r="B22" s="8" t="n">
        <v>3446.072</v>
      </c>
      <c r="C22" s="8" t="n">
        <v>41352.864</v>
      </c>
      <c r="D22" s="17" t="n">
        <v>0.2</v>
      </c>
    </row>
  </sheetData>
  <mergeCells count="5">
    <mergeCell ref="A2:F2"/>
    <mergeCell ref="A1:F1"/>
    <mergeCell ref="A9:F9"/>
    <mergeCell ref="A17:F17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2" t="inlineStr">
        <is>
          <t>Mandarina - Service Configuration</t>
        </is>
      </c>
    </row>
    <row r="3">
      <c r="A3" s="4" t="inlineStr">
        <is>
          <t>Property Name</t>
        </is>
      </c>
      <c r="B3" t="inlineStr">
        <is>
          <t>Mandarina</t>
        </is>
      </c>
    </row>
    <row r="4">
      <c r="A4" s="4" t="inlineStr">
        <is>
          <t>Units</t>
        </is>
      </c>
      <c r="B4" t="n">
        <v>180</v>
      </c>
    </row>
    <row r="5">
      <c r="A5" s="4" t="inlineStr">
        <is>
          <t>State</t>
        </is>
      </c>
      <c r="B5" t="inlineStr">
        <is>
          <t>AZ</t>
        </is>
      </c>
    </row>
    <row r="6">
      <c r="A6" s="4" t="inlineStr">
        <is>
          <t>City</t>
        </is>
      </c>
      <c r="B6" t="inlineStr">
        <is>
          <t>Phoenix</t>
        </is>
      </c>
    </row>
    <row r="7">
      <c r="A7" s="4" t="inlineStr">
        <is>
          <t>Property Type</t>
        </is>
      </c>
      <c r="B7" t="inlineStr">
        <is>
          <t>Garden Style</t>
        </is>
      </c>
    </row>
    <row r="8">
      <c r="A8" s="4" t="inlineStr">
        <is>
          <t>Service Type</t>
        </is>
      </c>
      <c r="B8" t="inlineStr">
        <is>
          <t>Dumpster</t>
        </is>
      </c>
    </row>
    <row r="10">
      <c r="A10" s="18" t="inlineStr">
        <is>
          <t>Data Configuration</t>
        </is>
      </c>
      <c r="B10" t="inlineStr"/>
    </row>
    <row r="11">
      <c r="A11" s="4" t="inlineStr">
        <is>
          <t>Data Pattern</t>
        </is>
      </c>
      <c r="B11" t="inlineStr">
        <is>
          <t>C</t>
        </is>
      </c>
    </row>
    <row r="12">
      <c r="A12" s="4" t="inlineStr">
        <is>
          <t>Amount Field</t>
        </is>
      </c>
      <c r="B12" t="inlineStr">
        <is>
          <t>Invoice Amount</t>
        </is>
      </c>
    </row>
    <row r="14">
      <c r="A14" s="18" t="inlineStr">
        <is>
          <t>Data Coverage</t>
        </is>
      </c>
      <c r="B14" t="inlineStr"/>
    </row>
    <row r="15">
      <c r="A15" s="4" t="inlineStr">
        <is>
          <t>Date Range Start</t>
        </is>
      </c>
      <c r="B15" t="inlineStr">
        <is>
          <t>2024-10</t>
        </is>
      </c>
    </row>
    <row r="16">
      <c r="A16" s="4" t="inlineStr">
        <is>
          <t>Date Range End</t>
        </is>
      </c>
      <c r="B16" t="inlineStr">
        <is>
          <t>2025-09</t>
        </is>
      </c>
    </row>
    <row r="17">
      <c r="A17" s="4" t="inlineStr">
        <is>
          <t>Months Covered</t>
        </is>
      </c>
      <c r="B17" t="n">
        <v>12</v>
      </c>
    </row>
    <row r="18">
      <c r="A18" s="4" t="inlineStr">
        <is>
          <t>Total Records</t>
        </is>
      </c>
      <c r="B18" t="n">
        <v>37</v>
      </c>
    </row>
    <row r="20">
      <c r="A20" s="18" t="inlineStr">
        <is>
          <t>Vendors</t>
        </is>
      </c>
      <c r="B20" t="inlineStr"/>
    </row>
    <row r="21">
      <c r="A21" s="4" t="inlineStr">
        <is>
          <t>Unique Vendors</t>
        </is>
      </c>
      <c r="B21" t="n">
        <v>3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0" customWidth="1" min="4" max="4"/>
  </cols>
  <sheetData>
    <row r="1">
      <c r="A1" s="12" t="inlineStr">
        <is>
          <t>Data Validation Report</t>
        </is>
      </c>
    </row>
    <row r="2">
      <c r="A2" t="inlineStr">
        <is>
          <t>Property: Mandarina</t>
        </is>
      </c>
    </row>
    <row r="3">
      <c r="A3" t="inlineStr">
        <is>
          <t>Extraction Date: 2025-11-13T07:35:10.901386</t>
        </is>
      </c>
    </row>
    <row r="4">
      <c r="A4" s="19" t="inlineStr">
        <is>
          <t>Overall Status: PASSED</t>
        </is>
      </c>
    </row>
    <row r="6">
      <c r="A6" s="13" t="inlineStr">
        <is>
          <t>VALIDATION CHECKS</t>
        </is>
      </c>
    </row>
    <row r="7">
      <c r="A7" s="5" t="inlineStr">
        <is>
          <t>Check</t>
        </is>
      </c>
      <c r="B7" s="5" t="inlineStr">
        <is>
          <t>Expected</t>
        </is>
      </c>
      <c r="C7" s="5" t="inlineStr">
        <is>
          <t>Actual</t>
        </is>
      </c>
      <c r="D7" s="5" t="inlineStr">
        <is>
          <t>Status</t>
        </is>
      </c>
    </row>
    <row r="8">
      <c r="A8" t="inlineStr">
        <is>
          <t>Total Spend</t>
        </is>
      </c>
      <c r="B8" s="8" t="n">
        <v>34460.72</v>
      </c>
      <c r="C8" s="8" t="n">
        <v>34460.72</v>
      </c>
      <c r="D8" s="19" t="inlineStr">
        <is>
          <t>PASS</t>
        </is>
      </c>
    </row>
    <row r="9">
      <c r="A9" t="inlineStr">
        <is>
          <t>Month Count</t>
        </is>
      </c>
      <c r="B9" t="n">
        <v>12</v>
      </c>
      <c r="C9" t="n">
        <v>12</v>
      </c>
      <c r="D9" s="19" t="inlineStr">
        <is>
          <t>PASS</t>
        </is>
      </c>
    </row>
    <row r="10">
      <c r="A10" t="inlineStr">
        <is>
          <t>Date Range</t>
        </is>
      </c>
      <c r="D10" s="19" t="inlineStr">
        <is>
          <t>PASS</t>
        </is>
      </c>
    </row>
  </sheetData>
  <mergeCells count="1">
    <mergeCell ref="A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2025-11-13T13:37:26Z</dcterms:created>
  <dcterms:modified xmlns:dcterms="http://purl.org/dc/terms/" xmlns:xsi="http://www.w3.org/2001/XMLSchema-instance" xsi:type="dcterms:W3CDTF">2025-11-13T13:37:26Z</dcterms:modified>
</cp:coreProperties>
</file>