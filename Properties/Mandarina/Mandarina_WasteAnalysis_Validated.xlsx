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_FULL" sheetId="1" state="visible" r:id="rId1"/>
    <sheet xmlns:r="http://schemas.openxmlformats.org/officeDocument/2006/relationships" name="EXPENSE_ANALYSIS" sheetId="2" state="visible" r:id="rId2"/>
    <sheet xmlns:r="http://schemas.openxmlformats.org/officeDocument/2006/relationships" name="OPTIMIZATION" sheetId="3" state="visible" r:id="rId3"/>
    <sheet xmlns:r="http://schemas.openxmlformats.org/officeDocument/2006/relationships" name="QUALITY_CHECK" sheetId="4" state="visible" r:id="rId4"/>
    <sheet xmlns:r="http://schemas.openxmlformats.org/officeDocument/2006/relationships" name="DOCUMENTATION_NOTES" sheetId="5" state="visible" r:id="rId5"/>
    <sheet xmlns:r="http://schemas.openxmlformats.org/officeDocument/2006/relationships" name="CONTRACT_TERM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0"/>
    </font>
    <font>
      <b val="1"/>
      <color rgb="00FFFFFF"/>
      <sz val="11"/>
    </font>
    <font>
      <b val="1"/>
      <color rgb="00FFFFFF"/>
      <sz val="12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4472C4"/>
        <bgColor rgb="004472C4"/>
      </patternFill>
    </fill>
    <fill>
      <patternFill patternType="solid">
        <fgColor rgb="00FFC000"/>
        <bgColor rgb="00FFC000"/>
      </patternFill>
    </fill>
    <fill>
      <patternFill patternType="solid">
        <fgColor rgb="00FF0000"/>
        <bgColor rgb="00FF0000"/>
      </patternFill>
    </fill>
    <fill>
      <patternFill patternType="solid">
        <fgColor rgb="0070AD47"/>
        <bgColor rgb="0070AD4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3" fillId="2" borderId="0" applyAlignment="1" pivotButton="0" quotePrefix="0" xfId="0">
      <alignment horizontal="center"/>
    </xf>
    <xf numFmtId="0" fontId="0" fillId="4" borderId="0" pivotButton="0" quotePrefix="0" xfId="0"/>
    <xf numFmtId="0" fontId="4" fillId="2" borderId="0" pivotButton="0" quotePrefix="0" xfId="0"/>
    <xf numFmtId="0" fontId="5" fillId="5" borderId="0" pivotButton="0" quotePrefix="0" xfId="0"/>
    <xf numFmtId="0" fontId="5" fillId="6" borderId="0" pivotButton="0" quotePrefix="0" xfId="0"/>
    <xf numFmtId="0" fontId="3" fillId="2" borderId="0" pivotButton="0" quotePrefix="0" xfId="0"/>
    <xf numFmtId="0" fontId="6" fillId="4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</cols>
  <sheetData>
    <row r="1">
      <c r="A1" s="1" t="inlineStr">
        <is>
          <t>MANDARINA - WASTE MANAGEMENT ANALYSIS</t>
        </is>
      </c>
      <c r="B1" s="1" t="inlineStr"/>
    </row>
    <row r="2">
      <c r="A2" s="2" t="inlineStr">
        <is>
          <t>Property Information</t>
        </is>
      </c>
      <c r="B2" t="inlineStr"/>
    </row>
    <row r="3">
      <c r="A3" t="inlineStr">
        <is>
          <t>Property Name</t>
        </is>
      </c>
      <c r="B3" t="inlineStr">
        <is>
          <t>Mandarina</t>
        </is>
      </c>
    </row>
    <row r="4">
      <c r="A4" t="inlineStr">
        <is>
          <t>Location</t>
        </is>
      </c>
      <c r="B4" t="inlineStr">
        <is>
          <t>Phoenix, Arizona</t>
        </is>
      </c>
    </row>
    <row r="5">
      <c r="A5" t="inlineStr">
        <is>
          <t>Units</t>
        </is>
      </c>
      <c r="B5" t="n">
        <v>180</v>
      </c>
    </row>
    <row r="6">
      <c r="A6" t="inlineStr">
        <is>
          <t>Property Type</t>
        </is>
      </c>
      <c r="B6" t="inlineStr">
        <is>
          <t>Garden-Style (assumed)</t>
        </is>
      </c>
    </row>
    <row r="7">
      <c r="A7" t="inlineStr">
        <is>
          <t>Management Company</t>
        </is>
      </c>
      <c r="B7" t="inlineStr">
        <is>
          <t>Avanti Residential</t>
        </is>
      </c>
    </row>
    <row r="8">
      <c r="A8" t="inlineStr"/>
      <c r="B8" t="inlineStr"/>
    </row>
    <row r="9">
      <c r="A9" s="2" t="inlineStr">
        <is>
          <t>Service Configuration</t>
        </is>
      </c>
      <c r="B9" t="inlineStr"/>
    </row>
    <row r="10">
      <c r="A10" t="inlineStr">
        <is>
          <t>Service Type</t>
        </is>
      </c>
      <c r="B10" t="inlineStr">
        <is>
          <t>Compactor</t>
        </is>
      </c>
    </row>
    <row r="11">
      <c r="A11" t="inlineStr">
        <is>
          <t>Equipment</t>
        </is>
      </c>
      <c r="B11" t="inlineStr">
        <is>
          <t>2 x 8 Yard FEL Compactors</t>
        </is>
      </c>
    </row>
    <row r="12">
      <c r="A12" t="inlineStr">
        <is>
          <t>Pickup Frequency</t>
        </is>
      </c>
      <c r="B12" t="inlineStr">
        <is>
          <t>3x per week</t>
        </is>
      </c>
    </row>
    <row r="13">
      <c r="A13" t="inlineStr"/>
      <c r="B13" t="inlineStr"/>
    </row>
    <row r="14">
      <c r="A14" s="2" t="inlineStr">
        <is>
          <t>Financial Summary (Contract-Based)</t>
        </is>
      </c>
      <c r="B14" t="inlineStr"/>
    </row>
    <row r="15">
      <c r="A15" t="inlineStr">
        <is>
          <t>Waste Management Base</t>
        </is>
      </c>
      <c r="B15" t="inlineStr">
        <is>
          <t>$750.00</t>
        </is>
      </c>
    </row>
    <row r="16">
      <c r="A16" t="inlineStr">
        <is>
          <t>Environmental/RCR Fee</t>
        </is>
      </c>
      <c r="B16" t="inlineStr">
        <is>
          <t>$68.86</t>
        </is>
      </c>
    </row>
    <row r="17">
      <c r="A17" t="inlineStr">
        <is>
          <t>WM Monthly Total</t>
        </is>
      </c>
      <c r="B17" t="inlineStr">
        <is>
          <t>$818.86</t>
        </is>
      </c>
    </row>
    <row r="18">
      <c r="A18" t="inlineStr">
        <is>
          <t>Ally Waste Bulk Service</t>
        </is>
      </c>
      <c r="B18" t="inlineStr">
        <is>
          <t>$575.00</t>
        </is>
      </c>
    </row>
    <row r="19">
      <c r="A19" t="inlineStr">
        <is>
          <t>Total Monthly Cost</t>
        </is>
      </c>
      <c r="B19" t="inlineStr">
        <is>
          <t>$1393.86</t>
        </is>
      </c>
    </row>
    <row r="20">
      <c r="A20" t="inlineStr">
        <is>
          <t>Cost Per Door</t>
        </is>
      </c>
      <c r="B20" t="inlineStr">
        <is>
          <t>$7.74</t>
        </is>
      </c>
    </row>
    <row r="21">
      <c r="A21" t="inlineStr"/>
      <c r="B21" t="inlineStr"/>
    </row>
    <row r="22">
      <c r="A22" s="2" t="inlineStr">
        <is>
          <t>DATA LIMITATIONS</t>
        </is>
      </c>
      <c r="B22" t="inlineStr"/>
    </row>
    <row r="23">
      <c r="A23" t="inlineStr">
        <is>
          <t>Invoice Data Status</t>
        </is>
      </c>
      <c r="B23" t="inlineStr">
        <is>
          <t>MISSING - No invoice amounts in Excel consolidation</t>
        </is>
      </c>
    </row>
    <row r="24">
      <c r="A24" t="inlineStr">
        <is>
          <t>Tonnage Data</t>
        </is>
      </c>
      <c r="B24" t="inlineStr">
        <is>
          <t>NOT AVAILABLE - Cannot calculate yards/door</t>
        </is>
      </c>
    </row>
    <row r="25">
      <c r="A25" t="inlineStr">
        <is>
          <t>Overage Analysis</t>
        </is>
      </c>
      <c r="B25" t="inlineStr">
        <is>
          <t>NOT POSSIBLE - No invoice detail data</t>
        </is>
      </c>
    </row>
    <row r="26">
      <c r="A26" t="inlineStr">
        <is>
          <t>Optimization Analysis</t>
        </is>
      </c>
      <c r="B26" t="inlineStr">
        <is>
          <t>LIMITED - See OPTIMIZATION sheet for details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3" t="inlineStr">
        <is>
          <t>Category</t>
        </is>
      </c>
      <c r="B1" s="3" t="inlineStr">
        <is>
          <t>WM Compactor</t>
        </is>
      </c>
      <c r="C1" s="3" t="inlineStr">
        <is>
          <t>Ally Bulk</t>
        </is>
      </c>
      <c r="D1" s="3" t="inlineStr">
        <is>
          <t>Total</t>
        </is>
      </c>
      <c r="E1" s="3" t="inlineStr">
        <is>
          <t>Per Door</t>
        </is>
      </c>
      <c r="F1" s="3" t="inlineStr">
        <is>
          <t>Notes</t>
        </is>
      </c>
    </row>
    <row r="2">
      <c r="A2" t="inlineStr">
        <is>
          <t>Base Service</t>
        </is>
      </c>
      <c r="B2" t="n">
        <v>818.86</v>
      </c>
      <c r="C2" t="n">
        <v>575</v>
      </c>
      <c r="D2">
        <f>B2+C2</f>
        <v/>
      </c>
      <c r="E2">
        <f>D2/180</f>
        <v/>
      </c>
      <c r="F2" t="inlineStr">
        <is>
          <t>From contracts</t>
        </is>
      </c>
    </row>
    <row r="3">
      <c r="A3" t="inlineStr"/>
      <c r="B3" t="inlineStr"/>
      <c r="C3" t="inlineStr"/>
      <c r="D3" t="inlineStr"/>
      <c r="E3" t="inlineStr"/>
      <c r="F3" t="inlineStr"/>
    </row>
    <row r="4">
      <c r="A4" t="inlineStr">
        <is>
          <t>TOTAL MONTHLY</t>
        </is>
      </c>
      <c r="B4">
        <f>B2</f>
        <v/>
      </c>
      <c r="C4">
        <f>C2</f>
        <v/>
      </c>
      <c r="D4">
        <f>D2</f>
        <v/>
      </c>
      <c r="E4">
        <f>D4/180</f>
        <v/>
      </c>
      <c r="F4" t="inlineStr"/>
    </row>
    <row r="5">
      <c r="A5" t="inlineStr"/>
      <c r="B5" t="inlineStr"/>
      <c r="C5" t="inlineStr"/>
      <c r="D5" t="inlineStr"/>
      <c r="E5" t="inlineStr"/>
      <c r="F5" t="inlineStr"/>
    </row>
    <row r="6">
      <c r="A6" t="inlineStr">
        <is>
          <t>DATA GAP</t>
        </is>
      </c>
      <c r="B6" t="inlineStr"/>
      <c r="C6" t="inlineStr"/>
      <c r="D6" t="inlineStr"/>
      <c r="E6" t="inlineStr"/>
      <c r="F6" t="inlineStr"/>
    </row>
    <row r="7">
      <c r="A7" s="4" t="inlineStr">
        <is>
          <t>Invoice Amounts</t>
        </is>
      </c>
      <c r="B7" s="4" t="inlineStr">
        <is>
          <t>MISSING</t>
        </is>
      </c>
      <c r="C7" s="4" t="inlineStr">
        <is>
          <t>MISSING</t>
        </is>
      </c>
      <c r="D7" s="4" t="inlineStr">
        <is>
          <t>N/A</t>
        </is>
      </c>
      <c r="E7" s="4" t="inlineStr">
        <is>
          <t>N/A</t>
        </is>
      </c>
      <c r="F7" s="4" t="inlineStr">
        <is>
          <t>Excel consolidation has NaN values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5" customWidth="1" min="1" max="1"/>
    <col width="50" customWidth="1" min="2" max="2"/>
  </cols>
  <sheetData>
    <row r="1">
      <c r="A1" s="5" t="inlineStr">
        <is>
          <t>OPTIMIZATION OPPORTUNITIES - MANDARINA</t>
        </is>
      </c>
      <c r="B1" s="5" t="inlineStr"/>
    </row>
    <row r="2">
      <c r="A2" t="inlineStr"/>
      <c r="B2" t="inlineStr"/>
    </row>
    <row r="3">
      <c r="A3" t="inlineStr">
        <is>
          <t>CRITICAL LIMITATION</t>
        </is>
      </c>
      <c r="B3" t="inlineStr"/>
    </row>
    <row r="4">
      <c r="A4" t="inlineStr">
        <is>
          <t>Missing Data</t>
        </is>
      </c>
      <c r="B4" t="inlineStr">
        <is>
          <t>Invoice amounts and tonnage data not available</t>
        </is>
      </c>
    </row>
    <row r="5">
      <c r="A5" t="inlineStr">
        <is>
          <t>Impact</t>
        </is>
      </c>
      <c r="B5" t="inlineStr">
        <is>
          <t>Cannot perform standard optimization analysis</t>
        </is>
      </c>
    </row>
    <row r="6">
      <c r="A6" t="inlineStr"/>
      <c r="B6" t="inlineStr"/>
    </row>
    <row r="7">
      <c r="A7" s="2" t="inlineStr">
        <is>
          <t>REQUIRED DATA FOR OPTIMIZATION</t>
        </is>
      </c>
      <c r="B7" t="inlineStr">
        <is>
          <t>STATUS</t>
        </is>
      </c>
    </row>
    <row r="8">
      <c r="A8" t="inlineStr">
        <is>
          <t>Unit Count</t>
        </is>
      </c>
      <c r="B8" t="inlineStr">
        <is>
          <t>AVAILABLE (180 units)</t>
        </is>
      </c>
    </row>
    <row r="9">
      <c r="A9" t="inlineStr">
        <is>
          <t>Monthly Invoice Amounts</t>
        </is>
      </c>
      <c r="B9" s="6" t="inlineStr">
        <is>
          <t>MISSING (all NaN in Excel file)</t>
        </is>
      </c>
    </row>
    <row r="10">
      <c r="A10" t="inlineStr">
        <is>
          <t>Tonnage Per Haul</t>
        </is>
      </c>
      <c r="B10" s="6" t="inlineStr">
        <is>
          <t>MISSING (needed for compactor optimization)</t>
        </is>
      </c>
    </row>
    <row r="11">
      <c r="A11" t="inlineStr"/>
      <c r="B11" t="inlineStr"/>
    </row>
    <row r="12">
      <c r="A12" s="2" t="inlineStr">
        <is>
          <t>COMPACTOR OPTIMIZATION</t>
        </is>
      </c>
      <c r="B12" t="inlineStr"/>
    </row>
    <row r="13">
      <c r="A13" t="inlineStr">
        <is>
          <t>Status</t>
        </is>
      </c>
      <c r="B13" s="6" t="inlineStr">
        <is>
          <t>CANNOT PERFORM</t>
        </is>
      </c>
    </row>
    <row r="14">
      <c r="A14" t="inlineStr">
        <is>
          <t>Reason</t>
        </is>
      </c>
      <c r="B14" t="inlineStr">
        <is>
          <t>Missing tonnage data (tons/haul, total hauls)</t>
        </is>
      </c>
    </row>
    <row r="15">
      <c r="A15" t="inlineStr"/>
      <c r="B15" t="inlineStr"/>
    </row>
    <row r="16">
      <c r="A16" t="inlineStr">
        <is>
          <t>BULK SUBSCRIPTION ANALYSIS</t>
        </is>
      </c>
      <c r="B16" t="inlineStr"/>
    </row>
    <row r="17">
      <c r="A17" t="inlineStr">
        <is>
          <t>Status</t>
        </is>
      </c>
      <c r="B17" s="7" t="inlineStr">
        <is>
          <t>ALREADY IMPLEMENTED</t>
        </is>
      </c>
    </row>
    <row r="18">
      <c r="A18" t="inlineStr">
        <is>
          <t>Current Service</t>
        </is>
      </c>
      <c r="B18" t="inlineStr">
        <is>
          <t>Ally Waste bulk subscription: $575.00/month</t>
        </is>
      </c>
    </row>
    <row r="19">
      <c r="A19" t="inlineStr"/>
      <c r="B19" t="inlineStr"/>
    </row>
    <row r="20">
      <c r="A20" s="2" t="inlineStr">
        <is>
          <t>NEXT STEPS</t>
        </is>
      </c>
      <c r="B20" t="inlineStr"/>
    </row>
    <row r="21">
      <c r="A21" t="inlineStr">
        <is>
          <t>Priority 1</t>
        </is>
      </c>
      <c r="B21" t="inlineStr">
        <is>
          <t>Extract invoice amounts from source PDF files</t>
        </is>
      </c>
    </row>
    <row r="22">
      <c r="A22" t="inlineStr">
        <is>
          <t>Priority 2</t>
        </is>
      </c>
      <c r="B22" t="inlineStr">
        <is>
          <t>Extract tonnage data from WM compactor invoices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50" customWidth="1" min="3" max="3"/>
  </cols>
  <sheetData>
    <row r="1">
      <c r="A1" s="8" t="inlineStr">
        <is>
          <t>Validation Check</t>
        </is>
      </c>
      <c r="B1" s="8" t="inlineStr">
        <is>
          <t>Status</t>
        </is>
      </c>
      <c r="C1" s="8" t="inlineStr">
        <is>
          <t>Details</t>
        </is>
      </c>
    </row>
    <row r="2">
      <c r="A2" t="inlineStr">
        <is>
          <t>CONTRACT TAB</t>
        </is>
      </c>
      <c r="B2" s="7" t="inlineStr">
        <is>
          <t>PASS</t>
        </is>
      </c>
      <c r="C2" t="inlineStr">
        <is>
          <t>Both contracts extracted and documented</t>
        </is>
      </c>
    </row>
    <row r="3">
      <c r="A3" t="inlineStr">
        <is>
          <t>OPTIMIZATION CRITERIA CHECK</t>
        </is>
      </c>
      <c r="B3" s="9" t="inlineStr">
        <is>
          <t>LIMITED</t>
        </is>
      </c>
      <c r="C3" t="inlineStr">
        <is>
          <t>Cannot assess - missing tonnage data</t>
        </is>
      </c>
    </row>
    <row r="4">
      <c r="A4" t="inlineStr">
        <is>
          <t>FORMULA ACCURACY CHECK</t>
        </is>
      </c>
      <c r="B4" s="7" t="inlineStr">
        <is>
          <t>PASS</t>
        </is>
      </c>
      <c r="C4" t="inlineStr">
        <is>
          <t>All formulas validated against reference docs</t>
        </is>
      </c>
    </row>
    <row r="5">
      <c r="A5" t="inlineStr">
        <is>
          <t>SHEET STRUCTURE CHECK</t>
        </is>
      </c>
      <c r="B5" s="7" t="inlineStr">
        <is>
          <t>PASS</t>
        </is>
      </c>
      <c r="C5" t="inlineStr">
        <is>
          <t>All 6 required sheets present</t>
        </is>
      </c>
    </row>
    <row r="6">
      <c r="A6" t="inlineStr">
        <is>
          <t>DATA COMPLETENESS CHECK</t>
        </is>
      </c>
      <c r="B6" s="6" t="inlineStr">
        <is>
          <t>FAIL</t>
        </is>
      </c>
      <c r="C6" t="inlineStr">
        <is>
          <t>Invoice amounts missing from Excel consolidation</t>
        </is>
      </c>
    </row>
    <row r="7">
      <c r="A7" t="inlineStr">
        <is>
          <t>UNIT COUNT VALIDATION</t>
        </is>
      </c>
      <c r="B7" s="7" t="inlineStr">
        <is>
          <t>PASS</t>
        </is>
      </c>
      <c r="C7" t="inlineStr">
        <is>
          <t>180 units confirmed from Ally Waste contract</t>
        </is>
      </c>
    </row>
    <row r="8">
      <c r="A8" t="inlineStr"/>
      <c r="B8" t="inlineStr"/>
      <c r="C8" t="inlineStr"/>
    </row>
    <row r="9">
      <c r="A9" t="inlineStr">
        <is>
          <t>OVERALL VALIDATION STATUS</t>
        </is>
      </c>
      <c r="B9" s="9" t="inlineStr">
        <is>
          <t>PARTIAL</t>
        </is>
      </c>
      <c r="C9" t="inlineStr"/>
    </row>
    <row r="10">
      <c r="A10" t="inlineStr"/>
      <c r="B10" t="inlineStr"/>
      <c r="C10" t="inlineStr"/>
    </row>
    <row r="11">
      <c r="A11" t="inlineStr">
        <is>
          <t>CRITICAL ISSUES</t>
        </is>
      </c>
      <c r="B11" t="inlineStr"/>
      <c r="C11" t="inlineStr"/>
    </row>
    <row r="12">
      <c r="A12" t="inlineStr">
        <is>
          <t>Issue 1</t>
        </is>
      </c>
      <c r="B12" s="6" t="inlineStr">
        <is>
          <t>CRITICAL</t>
        </is>
      </c>
      <c r="C12" t="inlineStr">
        <is>
          <t>All invoice amounts are NaN in Excel file</t>
        </is>
      </c>
    </row>
    <row r="13">
      <c r="A13" t="inlineStr">
        <is>
          <t>Issue 2</t>
        </is>
      </c>
      <c r="B13" s="6" t="inlineStr">
        <is>
          <t>CRITICAL</t>
        </is>
      </c>
      <c r="C13" t="inlineStr">
        <is>
          <t>No tonnage data available for compactor analysis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0" t="inlineStr">
        <is>
          <t>MANDARINA - WASTEWISE ANALYSIS DOCUMENTATION</t>
        </is>
      </c>
    </row>
    <row r="2">
      <c r="A2" s="11" t="inlineStr"/>
    </row>
    <row r="3">
      <c r="A3" s="12" t="inlineStr">
        <is>
          <t>ANALYSIS DATE</t>
        </is>
      </c>
    </row>
    <row r="4">
      <c r="A4" s="11" t="inlineStr">
        <is>
          <t>2025-11-03 15:04:48</t>
        </is>
      </c>
    </row>
    <row r="5">
      <c r="A5" s="11" t="inlineStr"/>
    </row>
    <row r="6">
      <c r="A6" s="12" t="inlineStr">
        <is>
          <t>METHODOLOGY</t>
        </is>
      </c>
    </row>
    <row r="7">
      <c r="A7" s="11" t="inlineStr">
        <is>
          <t>This analysis was conducted following WasteWise Analytics calculation standards.</t>
        </is>
      </c>
    </row>
    <row r="8">
      <c r="A8" s="11" t="inlineStr">
        <is>
          <t>All formulas referenced from WasteWise_Calculations_Reference.md</t>
        </is>
      </c>
    </row>
    <row r="9">
      <c r="A9" s="11" t="inlineStr"/>
    </row>
    <row r="10">
      <c r="A10" s="12" t="inlineStr">
        <is>
          <t>DATA SOURCES</t>
        </is>
      </c>
    </row>
    <row r="11">
      <c r="A11" s="11" t="inlineStr">
        <is>
          <t>1. Contract: Waste Management of Arizona (Eff. 2/1/2018)</t>
        </is>
      </c>
    </row>
    <row r="12">
      <c r="A12" s="11" t="inlineStr">
        <is>
          <t xml:space="preserve">   Equipment: 2 x 8 Yard FEL Compactor, 3x/week</t>
        </is>
      </c>
    </row>
    <row r="13">
      <c r="A13" s="11" t="inlineStr">
        <is>
          <t xml:space="preserve">   Monthly Rate: $818.86</t>
        </is>
      </c>
    </row>
    <row r="14">
      <c r="A14" s="11" t="inlineStr"/>
    </row>
    <row r="15">
      <c r="A15" s="11" t="inlineStr">
        <is>
          <t>2. Contract: Ally Waste Bulk Removal (Eff. 9/10/2025)</t>
        </is>
      </c>
    </row>
    <row r="16">
      <c r="A16" s="11" t="inlineStr">
        <is>
          <t xml:space="preserve">   Service: Bulk trash removal, 1 day/week</t>
        </is>
      </c>
    </row>
    <row r="17">
      <c r="A17" s="11" t="inlineStr">
        <is>
          <t xml:space="preserve">   Monthly Rate: $575.00</t>
        </is>
      </c>
    </row>
    <row r="18">
      <c r="A18" s="11" t="inlineStr"/>
    </row>
    <row r="19">
      <c r="A19" s="11" t="inlineStr">
        <is>
          <t>3. Invoice Consolidation: COMPLETE_All_Properties_UPDATED_20251103_101053.xlsx</t>
        </is>
      </c>
    </row>
    <row r="20">
      <c r="A20" s="11" t="inlineStr">
        <is>
          <t xml:space="preserve">   Sheet: Mandarina, Rows: 37, Date Range: Oct 2024 - Sep 2025</t>
        </is>
      </c>
    </row>
    <row r="21">
      <c r="A21" s="11" t="inlineStr">
        <is>
          <t xml:space="preserve">   Data Quality: INCOMPLETE (all amounts = NaN)</t>
        </is>
      </c>
    </row>
    <row r="22">
      <c r="A22" s="11" t="inlineStr"/>
    </row>
    <row r="23">
      <c r="A23" s="12" t="inlineStr">
        <is>
          <t>ASSUMPTIONS</t>
        </is>
      </c>
    </row>
    <row r="24">
      <c r="A24" s="11" t="inlineStr">
        <is>
          <t>1. Unit Count: 180 units (from Ally Waste contract)</t>
        </is>
      </c>
    </row>
    <row r="25">
      <c r="A25" s="11" t="inlineStr">
        <is>
          <t>2. Property Type: Garden-Style (assumed based on location)</t>
        </is>
      </c>
    </row>
    <row r="26">
      <c r="A26" s="11" t="inlineStr">
        <is>
          <t>3. Monthly Costs: Based on contract rates (not actual invoices)</t>
        </is>
      </c>
    </row>
    <row r="27">
      <c r="A27" s="11" t="inlineStr"/>
    </row>
    <row r="28">
      <c r="A28" s="12" t="inlineStr">
        <is>
          <t>DATA LIMITATIONS</t>
        </is>
      </c>
    </row>
    <row r="29">
      <c r="A29" s="11" t="inlineStr">
        <is>
          <t>CRITICAL: Invoice amounts missing from Excel consolidation</t>
        </is>
      </c>
    </row>
    <row r="30">
      <c r="A30" s="11" t="inlineStr">
        <is>
          <t>CRITICAL: Tonnage data not available</t>
        </is>
      </c>
    </row>
    <row r="31">
      <c r="A31" s="11" t="inlineStr">
        <is>
          <t>Impact: Cannot calculate yards/door or perform optimization</t>
        </is>
      </c>
    </row>
    <row r="32">
      <c r="A32" s="11" t="inlineStr"/>
    </row>
    <row r="33">
      <c r="A33" s="12" t="inlineStr">
        <is>
          <t>CALCULATIONS PERFORMED</t>
        </is>
      </c>
    </row>
    <row r="34">
      <c r="A34" s="11" t="inlineStr">
        <is>
          <t>Cost Per Door = Total Monthly Cost / Units</t>
        </is>
      </c>
    </row>
    <row r="35">
      <c r="A35" s="11" t="inlineStr">
        <is>
          <t>Formula: $1393.86 / 180 = $7.74/door</t>
        </is>
      </c>
    </row>
    <row r="36">
      <c r="A36" s="11" t="inlineStr"/>
    </row>
    <row r="37">
      <c r="A37" s="12" t="inlineStr">
        <is>
          <t>CONFIDENCE LEVEL</t>
        </is>
      </c>
    </row>
    <row r="38">
      <c r="A38" s="11" t="inlineStr">
        <is>
          <t>Contract Data: HIGH (extracted from signed agreements)</t>
        </is>
      </c>
    </row>
    <row r="39">
      <c r="A39" s="11" t="inlineStr">
        <is>
          <t>Unit Count: HIGH (confirmed from Ally Waste contract)</t>
        </is>
      </c>
    </row>
    <row r="40">
      <c r="A40" s="11" t="inlineStr">
        <is>
          <t>Monthly Costs: MEDIUM (based on contracts, not actual invoices)</t>
        </is>
      </c>
    </row>
    <row r="41">
      <c r="A41" s="11" t="inlineStr">
        <is>
          <t>Optimization Analysis: LOW (insufficient data)</t>
        </is>
      </c>
    </row>
    <row r="42">
      <c r="A42" s="11" t="inlineStr"/>
    </row>
    <row r="43">
      <c r="A43" s="12" t="inlineStr">
        <is>
          <t>RECOMMENDATIONS</t>
        </is>
      </c>
    </row>
    <row r="44">
      <c r="A44" s="11" t="inlineStr">
        <is>
          <t>Priority 1: Extract invoice amounts from source PDF files</t>
        </is>
      </c>
    </row>
    <row r="45">
      <c r="A45" s="11" t="inlineStr">
        <is>
          <t>Priority 2: Extract tonnage from WM compactor invoices</t>
        </is>
      </c>
    </row>
    <row r="46">
      <c r="A46" s="11" t="inlineStr">
        <is>
          <t>Priority 3: Perform full optimization when data available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30" customWidth="1" min="1" max="1"/>
    <col width="50" customWidth="1" min="2" max="2"/>
  </cols>
  <sheetData>
    <row r="1">
      <c r="A1" s="10" t="inlineStr">
        <is>
          <t>CONTRACT ANALYSIS - MANDARINA</t>
        </is>
      </c>
      <c r="B1" s="10" t="inlineStr"/>
    </row>
    <row r="2">
      <c r="A2" s="11" t="inlineStr"/>
      <c r="B2" s="11" t="inlineStr"/>
    </row>
    <row r="3">
      <c r="A3" s="12" t="inlineStr">
        <is>
          <t>CONTRACT 1: WASTE MANAGEMENT</t>
        </is>
      </c>
      <c r="B3" s="11" t="inlineStr"/>
    </row>
    <row r="4">
      <c r="A4" s="11" t="inlineStr">
        <is>
          <t>Vendor</t>
        </is>
      </c>
      <c r="B4" s="11" t="inlineStr">
        <is>
          <t>Waste Management of Arizona, Inc.</t>
        </is>
      </c>
    </row>
    <row r="5">
      <c r="A5" s="11" t="inlineStr">
        <is>
          <t>Agreement Number</t>
        </is>
      </c>
      <c r="B5" s="11" t="inlineStr">
        <is>
          <t>S000983B029</t>
        </is>
      </c>
    </row>
    <row r="6">
      <c r="A6" s="11" t="inlineStr">
        <is>
          <t>Customer ID</t>
        </is>
      </c>
      <c r="B6" s="11" t="inlineStr">
        <is>
          <t>18-19120-63004</t>
        </is>
      </c>
    </row>
    <row r="7">
      <c r="A7" s="11" t="inlineStr">
        <is>
          <t>Effective Date</t>
        </is>
      </c>
      <c r="B7" s="11" t="inlineStr">
        <is>
          <t>2/1/2018</t>
        </is>
      </c>
    </row>
    <row r="8">
      <c r="A8" s="11" t="inlineStr">
        <is>
          <t>Equipment</t>
        </is>
      </c>
      <c r="B8" s="11" t="inlineStr">
        <is>
          <t>2 x 8 Yard FEL Compactor</t>
        </is>
      </c>
    </row>
    <row r="9">
      <c r="A9" s="11" t="inlineStr">
        <is>
          <t>Frequency</t>
        </is>
      </c>
      <c r="B9" s="11" t="inlineStr">
        <is>
          <t>3x Per Week</t>
        </is>
      </c>
    </row>
    <row r="10">
      <c r="A10" s="11" t="inlineStr">
        <is>
          <t>Base Rate</t>
        </is>
      </c>
      <c r="B10" s="11" t="inlineStr">
        <is>
          <t>$750.00</t>
        </is>
      </c>
    </row>
    <row r="11">
      <c r="A11" s="11" t="inlineStr">
        <is>
          <t>Environmental/RCR</t>
        </is>
      </c>
      <c r="B11" s="11" t="inlineStr">
        <is>
          <t>$68.86</t>
        </is>
      </c>
    </row>
    <row r="12">
      <c r="A12" s="11" t="inlineStr">
        <is>
          <t>Total Monthly</t>
        </is>
      </c>
      <c r="B12" s="11" t="inlineStr">
        <is>
          <t>$818.86</t>
        </is>
      </c>
    </row>
    <row r="13">
      <c r="A13" s="11" t="inlineStr">
        <is>
          <t>Term</t>
        </is>
      </c>
      <c r="B13" s="11" t="inlineStr">
        <is>
          <t>1 year (auto-renew)</t>
        </is>
      </c>
    </row>
    <row r="14">
      <c r="A14" s="11" t="inlineStr">
        <is>
          <t>Termination Notice</t>
        </is>
      </c>
      <c r="B14" s="11" t="inlineStr">
        <is>
          <t>90 days</t>
        </is>
      </c>
    </row>
    <row r="15">
      <c r="A15" s="11" t="inlineStr"/>
      <c r="B15" s="11" t="inlineStr"/>
    </row>
    <row r="16">
      <c r="A16" s="12" t="inlineStr">
        <is>
          <t>CONTRACT 2: ALLY WASTE</t>
        </is>
      </c>
      <c r="B16" s="11" t="inlineStr"/>
    </row>
    <row r="17">
      <c r="A17" s="11" t="inlineStr">
        <is>
          <t>Vendor</t>
        </is>
      </c>
      <c r="B17" s="11" t="inlineStr">
        <is>
          <t>Ally Waste Services, LLC</t>
        </is>
      </c>
    </row>
    <row r="18">
      <c r="A18" s="11" t="inlineStr">
        <is>
          <t>Service Type</t>
        </is>
      </c>
      <c r="B18" s="11" t="inlineStr">
        <is>
          <t>Bulk Removal Service</t>
        </is>
      </c>
    </row>
    <row r="19">
      <c r="A19" s="11" t="inlineStr">
        <is>
          <t>Start Date</t>
        </is>
      </c>
      <c r="B19" s="11" t="inlineStr">
        <is>
          <t>09/10/2025</t>
        </is>
      </c>
    </row>
    <row r="20">
      <c r="A20" s="11" t="inlineStr">
        <is>
          <t>Total Units</t>
        </is>
      </c>
      <c r="B20" s="11" t="inlineStr">
        <is>
          <t>180</t>
        </is>
      </c>
    </row>
    <row r="21">
      <c r="A21" s="11" t="inlineStr">
        <is>
          <t>Service Days</t>
        </is>
      </c>
      <c r="B21" s="11" t="inlineStr">
        <is>
          <t>1 Day/week (TBD)</t>
        </is>
      </c>
    </row>
    <row r="22">
      <c r="A22" s="11" t="inlineStr">
        <is>
          <t>Monthly Charge</t>
        </is>
      </c>
      <c r="B22" s="11" t="inlineStr">
        <is>
          <t>$575.00</t>
        </is>
      </c>
    </row>
    <row r="23">
      <c r="A23" s="11" t="inlineStr">
        <is>
          <t>Term</t>
        </is>
      </c>
      <c r="B23" s="11" t="inlineStr">
        <is>
          <t>12 months (auto-renew)</t>
        </is>
      </c>
    </row>
    <row r="24">
      <c r="A24" s="11" t="inlineStr">
        <is>
          <t>Termination Notice</t>
        </is>
      </c>
      <c r="B24" s="11" t="inlineStr">
        <is>
          <t>90-180 days</t>
        </is>
      </c>
    </row>
    <row r="25">
      <c r="A25" s="11" t="inlineStr">
        <is>
          <t>Rate Lock</t>
        </is>
      </c>
      <c r="B25" s="11" t="inlineStr">
        <is>
          <t>No increases during first 12 months</t>
        </is>
      </c>
    </row>
    <row r="26">
      <c r="A26" s="11" t="inlineStr">
        <is>
          <t>Rate Increases</t>
        </is>
      </c>
      <c r="B26" s="11" t="inlineStr">
        <is>
          <t>Up to 8% every 12 months thereafter</t>
        </is>
      </c>
    </row>
    <row r="27">
      <c r="A27" s="11" t="inlineStr"/>
      <c r="B27" s="11" t="inlineStr"/>
    </row>
    <row r="28">
      <c r="A28" s="12" t="inlineStr">
        <is>
          <t>COMBINED ANALYSIS</t>
        </is>
      </c>
      <c r="B28" s="11" t="inlineStr"/>
    </row>
    <row r="29">
      <c r="A29" s="11" t="inlineStr">
        <is>
          <t>Total Vendors</t>
        </is>
      </c>
      <c r="B29" s="11" t="inlineStr">
        <is>
          <t>2 (WM + Ally Waste)</t>
        </is>
      </c>
    </row>
    <row r="30">
      <c r="A30" s="11" t="inlineStr">
        <is>
          <t>Total Monthly Cost</t>
        </is>
      </c>
      <c r="B30" s="11" t="inlineStr">
        <is>
          <t>$1393.86</t>
        </is>
      </c>
    </row>
    <row r="31">
      <c r="A31" s="11" t="inlineStr">
        <is>
          <t>Cost Per Door</t>
        </is>
      </c>
      <c r="B31" s="11" t="inlineStr">
        <is>
          <t>$7.74</t>
        </is>
      </c>
    </row>
    <row r="32">
      <c r="A32" s="11" t="inlineStr"/>
      <c r="B32" s="11" t="inlineStr"/>
    </row>
    <row r="33">
      <c r="A33" s="12" t="inlineStr">
        <is>
          <t>CONTRACT CONCERNS</t>
        </is>
      </c>
      <c r="B33" s="11" t="inlineStr"/>
    </row>
    <row r="34">
      <c r="A34" s="11" t="inlineStr">
        <is>
          <t>Dual Vendors</t>
        </is>
      </c>
      <c r="B34" s="11" t="inlineStr">
        <is>
          <t>Complexity in managing two contracts</t>
        </is>
      </c>
    </row>
    <row r="35">
      <c r="A35" s="11" t="inlineStr">
        <is>
          <t>Auto-Renewal Risk</t>
        </is>
      </c>
      <c r="B35" s="11" t="inlineStr">
        <is>
          <t>Both contracts auto-renew</t>
        </is>
      </c>
    </row>
    <row r="36">
      <c r="A36" s="11" t="inlineStr">
        <is>
          <t>Rate Exposure</t>
        </is>
      </c>
      <c r="B36" s="11" t="inlineStr">
        <is>
          <t>WM: CPI-based | Ally: up to 8% annually</t>
        </is>
      </c>
    </row>
    <row r="37">
      <c r="A37" s="11" t="inlineStr"/>
      <c r="B37" s="11" t="inlineStr"/>
    </row>
    <row r="38">
      <c r="A38" s="12" t="inlineStr">
        <is>
          <t>RECOMMENDATIONS</t>
        </is>
      </c>
      <c r="B38" s="11" t="inlineStr"/>
    </row>
    <row r="39">
      <c r="A39" s="11" t="inlineStr">
        <is>
          <t>Calendar Alerts</t>
        </is>
      </c>
      <c r="B39" s="11" t="inlineStr">
        <is>
          <t>Set 120-day notice reminders</t>
        </is>
      </c>
    </row>
    <row r="40">
      <c r="A40" s="11" t="inlineStr">
        <is>
          <t>Vendor Consolidation</t>
        </is>
      </c>
      <c r="B40" s="11" t="inlineStr">
        <is>
          <t>Evaluate single-vendor solution</t>
        </is>
      </c>
    </row>
    <row r="41">
      <c r="A41" s="11" t="inlineStr">
        <is>
          <t>RFP Consideration</t>
        </is>
      </c>
      <c r="B41" s="11" t="inlineStr">
        <is>
          <t>Consider competitive RFP before renewal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2025-11-03T21:04:48Z</dcterms:created>
  <dcterms:modified xmlns:dcterms="http://purl.org/dc/terms/" xmlns:xsi="http://www.w3.org/2001/XMLSchema-instance" xsi:type="dcterms:W3CDTF">2025-11-03T21:04:48Z</dcterms:modified>
</cp:coreProperties>
</file>