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color rgb="0000B05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Pavilions at Arrowhead - Expense Analysis</t>
        </is>
      </c>
    </row>
    <row r="2">
      <c r="A2" s="2" t="inlineStr">
        <is>
          <t>Generated: November 13, 2025 at 07:37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Pavilions at Arrowhead</t>
        </is>
      </c>
    </row>
    <row r="6">
      <c r="A6" s="4" t="inlineStr">
        <is>
          <t>Units:</t>
        </is>
      </c>
      <c r="B6" t="n">
        <v>248</v>
      </c>
    </row>
    <row r="7">
      <c r="A7" s="4" t="inlineStr">
        <is>
          <t>State:</t>
        </is>
      </c>
      <c r="B7" t="inlineStr">
        <is>
          <t>AZ</t>
        </is>
      </c>
    </row>
    <row r="8">
      <c r="A8" s="4" t="inlineStr">
        <is>
          <t>Service Type:</t>
        </is>
      </c>
      <c r="B8" t="inlineStr">
        <is>
          <t>Dumpster</t>
        </is>
      </c>
    </row>
    <row r="9">
      <c r="A9" s="4" t="inlineStr">
        <is>
          <t>Data Pattern:</t>
        </is>
      </c>
      <c r="B9" t="inlineStr">
        <is>
          <t>C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$42,323.46</t>
        </is>
      </c>
      <c r="C13" t="inlineStr">
        <is>
          <t>$170.66</t>
        </is>
      </c>
      <c r="D13" t="inlineStr">
        <is>
          <t>12 months</t>
        </is>
      </c>
    </row>
    <row r="14">
      <c r="A14" t="inlineStr">
        <is>
          <t>Average Monthly</t>
        </is>
      </c>
      <c r="B14" t="inlineStr">
        <is>
          <t>$3,526.95</t>
        </is>
      </c>
      <c r="C14" t="inlineStr">
        <is>
          <t>$14.22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$4,045.67</t>
        </is>
      </c>
      <c r="C15" t="inlineStr">
        <is>
          <t>$16.31</t>
        </is>
      </c>
      <c r="D15" t="inlineStr">
        <is>
          <t>2025-08</t>
        </is>
      </c>
    </row>
    <row r="16">
      <c r="A16" t="inlineStr">
        <is>
          <t>Lowest Month</t>
        </is>
      </c>
      <c r="B16" t="inlineStr">
        <is>
          <t>$3,163.02</t>
        </is>
      </c>
      <c r="C16" t="inlineStr">
        <is>
          <t>$12.75</t>
        </is>
      </c>
      <c r="D16" t="inlineStr">
        <is>
          <t>2025-01</t>
        </is>
      </c>
    </row>
    <row r="18">
      <c r="A18" s="3" t="inlineStr">
        <is>
          <t>ANOMALIES DETECTED</t>
        </is>
      </c>
    </row>
    <row r="19">
      <c r="A19" s="6" t="inlineStr">
        <is>
          <t>No anomalies detected</t>
        </is>
      </c>
    </row>
  </sheetData>
  <mergeCells count="5">
    <mergeCell ref="A4:B4"/>
    <mergeCell ref="A1:D1"/>
    <mergeCell ref="A18:D18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2024-11</t>
        </is>
      </c>
      <c r="B2" t="inlineStr">
        <is>
          <t>42596.0, MONTHLY-City-of-Glendale-2024-11</t>
        </is>
      </c>
      <c r="C2" t="inlineStr">
        <is>
          <t>2024-11-01</t>
        </is>
      </c>
      <c r="D2" t="inlineStr">
        <is>
          <t>Ally Waste, City of Glendale</t>
        </is>
      </c>
      <c r="E2" s="8" t="n">
        <v>3261.63</v>
      </c>
      <c r="F2" s="8" t="n">
        <v>13.15173387096774</v>
      </c>
      <c r="G2" s="8" t="n">
        <v>3261.63</v>
      </c>
      <c r="H2" s="8" t="n">
        <v>3261.63</v>
      </c>
      <c r="I2" t="inlineStr"/>
    </row>
    <row r="3">
      <c r="A3" t="inlineStr">
        <is>
          <t>2024-12</t>
        </is>
      </c>
      <c r="B3" t="inlineStr">
        <is>
          <t>45417.0, MONTHLY-City-of-Glendale-2024-12</t>
        </is>
      </c>
      <c r="C3" t="inlineStr">
        <is>
          <t>2024-12-01</t>
        </is>
      </c>
      <c r="D3" t="inlineStr">
        <is>
          <t>Ally Waste, City of Glendale</t>
        </is>
      </c>
      <c r="E3" s="8" t="n">
        <v>3229.06</v>
      </c>
      <c r="F3" s="8" t="n">
        <v>13.02040322580645</v>
      </c>
      <c r="G3" s="8" t="n">
        <v>6490.690000000001</v>
      </c>
      <c r="H3" s="8" t="n">
        <v>3245.345</v>
      </c>
      <c r="I3" t="inlineStr"/>
    </row>
    <row r="4">
      <c r="A4" t="inlineStr">
        <is>
          <t>2025-01</t>
        </is>
      </c>
      <c r="B4" t="inlineStr">
        <is>
          <t>48195.0, MONTHLY-City-of-Glendale-2025-01</t>
        </is>
      </c>
      <c r="C4" t="inlineStr">
        <is>
          <t>2025-01-01</t>
        </is>
      </c>
      <c r="D4" t="inlineStr">
        <is>
          <t>Ally Waste, City of Glendale</t>
        </is>
      </c>
      <c r="E4" s="8" t="n">
        <v>3163.02</v>
      </c>
      <c r="F4" s="8" t="n">
        <v>12.75411290322581</v>
      </c>
      <c r="G4" s="8" t="n">
        <v>9653.709999999999</v>
      </c>
      <c r="H4" s="8" t="n">
        <v>3217.903333333334</v>
      </c>
      <c r="I4" t="inlineStr"/>
    </row>
    <row r="5">
      <c r="A5" t="inlineStr">
        <is>
          <t>2025-02</t>
        </is>
      </c>
      <c r="B5" t="inlineStr">
        <is>
          <t>50952.0, MONTHLY-City-of-Glendale-2025-02</t>
        </is>
      </c>
      <c r="C5" t="inlineStr">
        <is>
          <t>2025-02-01</t>
        </is>
      </c>
      <c r="D5" t="inlineStr">
        <is>
          <t>Ally Waste, City of Glendale</t>
        </is>
      </c>
      <c r="E5" s="8" t="n">
        <v>3276.04</v>
      </c>
      <c r="F5" s="8" t="n">
        <v>13.20983870967742</v>
      </c>
      <c r="G5" s="8" t="n">
        <v>12929.75</v>
      </c>
      <c r="H5" s="8" t="n">
        <v>3232.4375</v>
      </c>
      <c r="I5" t="inlineStr"/>
    </row>
    <row r="6">
      <c r="A6" t="inlineStr">
        <is>
          <t>2025-03</t>
        </is>
      </c>
      <c r="B6" t="inlineStr">
        <is>
          <t>54492.0, MONTHLY-City-of-Glendale-2025-03</t>
        </is>
      </c>
      <c r="C6" t="inlineStr">
        <is>
          <t>2025-03-01</t>
        </is>
      </c>
      <c r="D6" t="inlineStr">
        <is>
          <t>Ally Waste, City of Glendale</t>
        </is>
      </c>
      <c r="E6" s="8" t="n">
        <v>3351.63</v>
      </c>
      <c r="F6" s="8" t="n">
        <v>13.51463709677419</v>
      </c>
      <c r="G6" s="8" t="n">
        <v>16281.38</v>
      </c>
      <c r="H6" s="8" t="n">
        <v>3256.276</v>
      </c>
      <c r="I6" t="inlineStr"/>
    </row>
    <row r="7">
      <c r="A7" t="inlineStr">
        <is>
          <t>2025-04</t>
        </is>
      </c>
      <c r="B7" t="inlineStr">
        <is>
          <t>56949.0, MONTHLY-City-of-Glendale-2025-04</t>
        </is>
      </c>
      <c r="C7" t="inlineStr">
        <is>
          <t>2025-04-01</t>
        </is>
      </c>
      <c r="D7" t="inlineStr">
        <is>
          <t>Ally Waste, City of Glendale</t>
        </is>
      </c>
      <c r="E7" s="8" t="n">
        <v>3351.63</v>
      </c>
      <c r="F7" s="8" t="n">
        <v>13.51463709677419</v>
      </c>
      <c r="G7" s="8" t="n">
        <v>19633.01</v>
      </c>
      <c r="H7" s="8" t="n">
        <v>3272.168333333333</v>
      </c>
      <c r="I7" t="inlineStr"/>
    </row>
    <row r="8">
      <c r="A8" t="inlineStr">
        <is>
          <t>2025-05</t>
        </is>
      </c>
      <c r="B8" t="inlineStr">
        <is>
          <t>60207.0, MONTHLY-City-of-Glendale-2025-05</t>
        </is>
      </c>
      <c r="C8" t="inlineStr">
        <is>
          <t>2025-05-01</t>
        </is>
      </c>
      <c r="D8" t="inlineStr">
        <is>
          <t>Ally Waste, City of Glendale</t>
        </is>
      </c>
      <c r="E8" s="8" t="n">
        <v>3631</v>
      </c>
      <c r="F8" s="8" t="n">
        <v>14.64112903225806</v>
      </c>
      <c r="G8" s="8" t="n">
        <v>23264.01</v>
      </c>
      <c r="H8" s="8" t="n">
        <v>3323.43</v>
      </c>
      <c r="I8" t="inlineStr"/>
    </row>
    <row r="9">
      <c r="A9" t="inlineStr">
        <is>
          <t>2025-06</t>
        </is>
      </c>
      <c r="B9" t="inlineStr">
        <is>
          <t>61995.0, MONTHLY-City-of-Glendale-2025-06</t>
        </is>
      </c>
      <c r="C9" t="inlineStr">
        <is>
          <t>2025-06-01</t>
        </is>
      </c>
      <c r="D9" t="inlineStr">
        <is>
          <t>Ally Waste, City of Glendale</t>
        </is>
      </c>
      <c r="E9" s="8" t="n">
        <v>3792.34</v>
      </c>
      <c r="F9" s="8" t="n">
        <v>15.2916935483871</v>
      </c>
      <c r="G9" s="8" t="n">
        <v>27056.35</v>
      </c>
      <c r="H9" s="8" t="n">
        <v>3382.04375</v>
      </c>
      <c r="I9" t="inlineStr"/>
    </row>
    <row r="10">
      <c r="A10" t="inlineStr">
        <is>
          <t>2025-07</t>
        </is>
      </c>
      <c r="B10" t="inlineStr">
        <is>
          <t>65125.0, MONTHLY-City-of-Glendale-2025-07</t>
        </is>
      </c>
      <c r="C10" t="inlineStr">
        <is>
          <t>2025-07-01</t>
        </is>
      </c>
      <c r="D10" t="inlineStr">
        <is>
          <t>Ally Waste, City of Glendale</t>
        </is>
      </c>
      <c r="E10" s="8" t="n">
        <v>3922.71</v>
      </c>
      <c r="F10" s="8" t="n">
        <v>15.81737903225806</v>
      </c>
      <c r="G10" s="8" t="n">
        <v>30979.06</v>
      </c>
      <c r="H10" s="8" t="n">
        <v>3442.117777777778</v>
      </c>
      <c r="I10" t="inlineStr"/>
    </row>
    <row r="11">
      <c r="A11" t="inlineStr">
        <is>
          <t>2025-08</t>
        </is>
      </c>
      <c r="B11" t="inlineStr">
        <is>
          <t>68052.0, MONTHLY-City-of-Glendale-2025-08</t>
        </is>
      </c>
      <c r="C11" t="inlineStr">
        <is>
          <t>2025-08-01</t>
        </is>
      </c>
      <c r="D11" t="inlineStr">
        <is>
          <t>Ally Waste, City of Glendale</t>
        </is>
      </c>
      <c r="E11" s="8" t="n">
        <v>4045.67</v>
      </c>
      <c r="F11" s="8" t="n">
        <v>16.31318548387097</v>
      </c>
      <c r="G11" s="8" t="n">
        <v>35024.73</v>
      </c>
      <c r="H11" s="8" t="n">
        <v>3502.473</v>
      </c>
      <c r="I11" t="inlineStr"/>
    </row>
    <row r="12">
      <c r="A12" t="inlineStr">
        <is>
          <t>2025-09</t>
        </is>
      </c>
      <c r="B12" t="inlineStr">
        <is>
          <t>71009.0, MONTHLY-City-of-Glendale-2025-09</t>
        </is>
      </c>
      <c r="C12" t="inlineStr">
        <is>
          <t>2025-09-01</t>
        </is>
      </c>
      <c r="D12" t="inlineStr">
        <is>
          <t>Ally Waste, City of Glendale</t>
        </is>
      </c>
      <c r="E12" s="8" t="n">
        <v>3850.05</v>
      </c>
      <c r="F12" s="8" t="n">
        <v>15.52439516129032</v>
      </c>
      <c r="G12" s="8" t="n">
        <v>38874.78000000001</v>
      </c>
      <c r="H12" s="8" t="n">
        <v>3534.070909090909</v>
      </c>
      <c r="I12" t="inlineStr"/>
    </row>
    <row r="13">
      <c r="A13" t="inlineStr">
        <is>
          <t>2025-10</t>
        </is>
      </c>
      <c r="B13" t="inlineStr">
        <is>
          <t>MONTHLY-City-of-Glendale-2025-10</t>
        </is>
      </c>
      <c r="C13" t="inlineStr">
        <is>
          <t>2025-10-02</t>
        </is>
      </c>
      <c r="D13" t="inlineStr">
        <is>
          <t>City of Glendale</t>
        </is>
      </c>
      <c r="E13" s="8" t="n">
        <v>3448.68</v>
      </c>
      <c r="F13" s="8" t="n">
        <v>13.90596774193548</v>
      </c>
      <c r="G13" s="8" t="n">
        <v>42323.46000000001</v>
      </c>
      <c r="H13" s="8" t="n">
        <v>3526.955000000001</v>
      </c>
      <c r="I13" t="inlineStr"/>
    </row>
    <row r="14">
      <c r="D14" s="4" t="inlineStr">
        <is>
          <t>TOTAL:</t>
        </is>
      </c>
      <c r="E14" s="9">
        <f>SUM(E2:E13)</f>
        <v/>
      </c>
      <c r="F14" s="9">
        <f>AVERAGE(F2:F13)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0" t="inlineStr">
        <is>
          <t>Pavilions at Arrowhead - Budget Projection</t>
        </is>
      </c>
    </row>
    <row r="2">
      <c r="A2" s="2" t="inlineStr">
        <is>
          <t>Based on actual expense data for budget planning</t>
        </is>
      </c>
    </row>
    <row r="4">
      <c r="A4" s="11" t="inlineStr">
        <is>
          <t>HISTORICAL AVERAGES</t>
        </is>
      </c>
    </row>
    <row r="5">
      <c r="A5" s="4" t="inlineStr">
        <is>
          <t>Average Monthly Expense:</t>
        </is>
      </c>
      <c r="B5" s="8" t="n">
        <v>3526.955</v>
      </c>
    </row>
    <row r="6">
      <c r="A6" s="4" t="inlineStr">
        <is>
          <t>Average Cost Per Door:</t>
        </is>
      </c>
      <c r="B6" s="8" t="n">
        <v>14.22159274193548</v>
      </c>
    </row>
    <row r="7">
      <c r="A7" s="4" t="inlineStr">
        <is>
          <t>Data Period:</t>
        </is>
      </c>
      <c r="B7" t="inlineStr">
        <is>
          <t>12 months (2024-11 to 2025-10)</t>
        </is>
      </c>
    </row>
    <row r="9">
      <c r="A9" s="11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3526.955</v>
      </c>
      <c r="C11" s="8" t="n">
        <v>14.22159274193548</v>
      </c>
      <c r="D11" s="8" t="n">
        <v>10580.865</v>
      </c>
      <c r="E11" s="8" t="n">
        <v>10580.865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3526.955</v>
      </c>
      <c r="C12" s="8" t="n">
        <v>14.22159274193548</v>
      </c>
      <c r="D12" s="8" t="n">
        <v>10580.865</v>
      </c>
      <c r="E12" s="8" t="n">
        <v>21161.73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3526.955</v>
      </c>
      <c r="C13" s="8" t="n">
        <v>14.22159274193548</v>
      </c>
      <c r="D13" s="8" t="n">
        <v>10580.865</v>
      </c>
      <c r="E13" s="8" t="n">
        <v>31742.595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3526.955</v>
      </c>
      <c r="C14" s="8" t="n">
        <v>14.22159274193548</v>
      </c>
      <c r="D14" s="8" t="n">
        <v>10580.865</v>
      </c>
      <c r="E14" s="8" t="n">
        <v>42323.46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2" t="n">
        <v>42323.46</v>
      </c>
    </row>
    <row r="17">
      <c r="A17" s="11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3174.2595</v>
      </c>
      <c r="C19" s="8" t="n">
        <v>38091.114</v>
      </c>
      <c r="D19" s="13" t="n">
        <v>-0.1</v>
      </c>
    </row>
    <row r="20">
      <c r="A20" t="inlineStr">
        <is>
          <t>Expected (Baseline)</t>
        </is>
      </c>
      <c r="B20" s="8" t="n">
        <v>3526.955</v>
      </c>
      <c r="C20" s="8" t="n">
        <v>42323.46</v>
      </c>
      <c r="D20" s="14" t="n">
        <v>0</v>
      </c>
    </row>
    <row r="21">
      <c r="A21" t="inlineStr">
        <is>
          <t>Conservative (+10%)</t>
        </is>
      </c>
      <c r="B21" s="8" t="n">
        <v>3879.6505</v>
      </c>
      <c r="C21" s="8" t="n">
        <v>46555.806</v>
      </c>
      <c r="D21" s="14" t="n">
        <v>0.1</v>
      </c>
    </row>
    <row r="22">
      <c r="A22" t="inlineStr">
        <is>
          <t>Worst Case (+20%)</t>
        </is>
      </c>
      <c r="B22" s="8" t="n">
        <v>4232.346</v>
      </c>
      <c r="C22" s="8" t="n">
        <v>50788.15199999999</v>
      </c>
      <c r="D22" s="15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0" t="inlineStr">
        <is>
          <t>Pavilions at Arrowhead - Service Configuration</t>
        </is>
      </c>
    </row>
    <row r="3">
      <c r="A3" s="4" t="inlineStr">
        <is>
          <t>Property Name</t>
        </is>
      </c>
      <c r="B3" t="inlineStr">
        <is>
          <t>Pavilions at Arrowhead</t>
        </is>
      </c>
    </row>
    <row r="4">
      <c r="A4" s="4" t="inlineStr">
        <is>
          <t>Units</t>
        </is>
      </c>
      <c r="B4" t="n">
        <v>248</v>
      </c>
    </row>
    <row r="5">
      <c r="A5" s="4" t="inlineStr">
        <is>
          <t>State</t>
        </is>
      </c>
      <c r="B5" t="inlineStr">
        <is>
          <t>AZ</t>
        </is>
      </c>
    </row>
    <row r="6">
      <c r="A6" s="4" t="inlineStr">
        <is>
          <t>City</t>
        </is>
      </c>
      <c r="B6" t="inlineStr">
        <is>
          <t>Glendale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Dumpster</t>
        </is>
      </c>
    </row>
    <row r="10">
      <c r="A10" s="16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C</t>
        </is>
      </c>
    </row>
    <row r="12">
      <c r="A12" s="4" t="inlineStr">
        <is>
          <t>Amount Field</t>
        </is>
      </c>
      <c r="B12" t="inlineStr">
        <is>
          <t>Invoice Amount</t>
        </is>
      </c>
    </row>
    <row r="14">
      <c r="A14" s="16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2024-11</t>
        </is>
      </c>
    </row>
    <row r="16">
      <c r="A16" s="4" t="inlineStr">
        <is>
          <t>Date Range End</t>
        </is>
      </c>
      <c r="B16" t="inlineStr">
        <is>
          <t>2025-10</t>
        </is>
      </c>
    </row>
    <row r="17">
      <c r="A17" s="4" t="inlineStr">
        <is>
          <t>Months Covered</t>
        </is>
      </c>
      <c r="B17" t="n">
        <v>12</v>
      </c>
    </row>
    <row r="18">
      <c r="A18" s="4" t="inlineStr">
        <is>
          <t>Total Records</t>
        </is>
      </c>
      <c r="B18" t="n">
        <v>47</v>
      </c>
    </row>
    <row r="20">
      <c r="A20" s="16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2</v>
      </c>
    </row>
    <row r="23">
      <c r="A23" s="16" t="inlineStr">
        <is>
          <t>NOTES</t>
        </is>
      </c>
    </row>
    <row r="24">
      <c r="A24" s="17" t="inlineStr">
        <is>
          <t>76.6% records missing invoice numbers - use monthly aggregation</t>
        </is>
      </c>
    </row>
  </sheetData>
  <mergeCells count="2">
    <mergeCell ref="A24:B24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0" t="inlineStr">
        <is>
          <t>Data Validation Report</t>
        </is>
      </c>
    </row>
    <row r="2">
      <c r="A2" t="inlineStr">
        <is>
          <t>Property: Pavilions at Arrowhead</t>
        </is>
      </c>
    </row>
    <row r="3">
      <c r="A3" t="inlineStr">
        <is>
          <t>Extraction Date: 2025-11-13T07:35:22.942655</t>
        </is>
      </c>
    </row>
    <row r="4">
      <c r="A4" s="18" t="inlineStr">
        <is>
          <t>Overall Status: PASSED</t>
        </is>
      </c>
    </row>
    <row r="6">
      <c r="A6" s="11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42323.46</v>
      </c>
      <c r="C8" s="8" t="n">
        <v>42323.46</v>
      </c>
      <c r="D8" s="18" t="inlineStr">
        <is>
          <t>PASS</t>
        </is>
      </c>
    </row>
    <row r="9">
      <c r="A9" t="inlineStr">
        <is>
          <t>Month Count</t>
        </is>
      </c>
      <c r="B9" t="n">
        <v>12</v>
      </c>
      <c r="C9" t="n">
        <v>12</v>
      </c>
      <c r="D9" s="18" t="inlineStr">
        <is>
          <t>PASS</t>
        </is>
      </c>
    </row>
    <row r="10">
      <c r="A10" t="inlineStr">
        <is>
          <t>Date Range</t>
        </is>
      </c>
      <c r="D10" s="18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2025-11-13T13:37:28Z</dcterms:created>
  <dcterms:modified xmlns:dcterms="http://purl.org/dc/terms/" xmlns:xsi="http://www.w3.org/2001/XMLSchema-instance" xsi:type="dcterms:W3CDTF">2025-11-13T13:37:28Z</dcterms:modified>
</cp:coreProperties>
</file>