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E7453C"/>
    </font>
    <font>
      <b val="1"/>
      <color rgb="0000B050"/>
    </font>
    <font>
      <b val="1"/>
    </font>
    <font>
      <color rgb="00E7453C"/>
    </font>
    <font>
      <color rgb="00FF6600"/>
    </font>
    <font>
      <b val="1"/>
      <color rgb="00FF6600"/>
    </font>
    <font>
      <i val="1"/>
      <color rgb="00808080"/>
    </font>
    <font>
      <color rgb="0000B050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2" borderId="0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PAVILIONS AT ARROWHEAD - WASTE MANAGEMENT ANALYSIS</t>
        </is>
      </c>
    </row>
    <row r="2">
      <c r="A2" s="2" t="inlineStr">
        <is>
          <t>WasteWise Analytics - Validated Edition</t>
        </is>
      </c>
    </row>
    <row r="3">
      <c r="A3" s="2" t="inlineStr"/>
    </row>
    <row r="4">
      <c r="A4" s="3" t="inlineStr">
        <is>
          <t>PROPERTY INFORMATION</t>
        </is>
      </c>
    </row>
    <row r="5">
      <c r="A5" s="2" t="inlineStr">
        <is>
          <t>Property Name</t>
        </is>
      </c>
      <c r="B5" s="2" t="inlineStr">
        <is>
          <t>Pavilions at Arrowhead</t>
        </is>
      </c>
    </row>
    <row r="6">
      <c r="A6" s="2" t="inlineStr">
        <is>
          <t>Location</t>
        </is>
      </c>
      <c r="B6" s="2" t="inlineStr">
        <is>
          <t>Glendale, Arizona</t>
        </is>
      </c>
    </row>
    <row r="7">
      <c r="A7" s="2" t="inlineStr">
        <is>
          <t>Unit Count</t>
        </is>
      </c>
      <c r="B7" s="4" t="inlineStr">
        <is>
          <t>UNKNOWN - Requires Manual Entry</t>
        </is>
      </c>
    </row>
    <row r="8">
      <c r="A8" s="2" t="inlineStr">
        <is>
          <t>Analysis Period</t>
        </is>
      </c>
      <c r="B8" s="2" t="inlineStr">
        <is>
          <t>November 2024 - October 2025</t>
        </is>
      </c>
    </row>
    <row r="9">
      <c r="A9" s="2" t="inlineStr">
        <is>
          <t>Total Invoices Analyzed</t>
        </is>
      </c>
      <c r="B9" s="2" t="n">
        <v>23</v>
      </c>
    </row>
    <row r="10">
      <c r="A10" s="2" t="inlineStr"/>
    </row>
    <row r="11">
      <c r="A11" s="3" t="inlineStr">
        <is>
          <t>VENDOR BREAKDOWN</t>
        </is>
      </c>
    </row>
    <row r="12">
      <c r="A12" s="2" t="inlineStr">
        <is>
          <t>Ally Waste</t>
        </is>
      </c>
      <c r="B12" s="2" t="inlineStr">
        <is>
          <t>$5,511.84</t>
        </is>
      </c>
    </row>
    <row r="13">
      <c r="A13" s="2" t="inlineStr">
        <is>
          <t>City of Glendale</t>
        </is>
      </c>
      <c r="B13" s="2" t="inlineStr">
        <is>
          <t>$24,372.21</t>
        </is>
      </c>
    </row>
    <row r="14">
      <c r="A14" s="2" t="inlineStr"/>
    </row>
    <row r="15">
      <c r="A15" s="3" t="inlineStr">
        <is>
          <t>FINANCIAL SUMMARY</t>
        </is>
      </c>
    </row>
    <row r="16">
      <c r="A16" s="2" t="inlineStr">
        <is>
          <t>Total Spend (Period)</t>
        </is>
      </c>
      <c r="B16" s="2" t="inlineStr">
        <is>
          <t>$29,884.05</t>
        </is>
      </c>
    </row>
    <row r="17">
      <c r="A17" s="2" t="inlineStr">
        <is>
          <t>Average Monthly Cost</t>
        </is>
      </c>
      <c r="B17" s="2">
        <f>$2,490.34</f>
        <v/>
      </c>
    </row>
    <row r="18">
      <c r="A18" s="2" t="inlineStr">
        <is>
          <t>Cost Per Door (Monthly)</t>
        </is>
      </c>
      <c r="B18" s="2" t="inlineStr">
        <is>
          <t>Cannot calculate - Unit count required</t>
        </is>
      </c>
    </row>
    <row r="19">
      <c r="A19" s="2" t="inlineStr"/>
    </row>
    <row r="20">
      <c r="A20" s="3" t="inlineStr">
        <is>
          <t>SERVICE DETAILS</t>
        </is>
      </c>
    </row>
    <row r="21">
      <c r="A21" s="2" t="inlineStr">
        <is>
          <t>Primary Vendor (Bulk)</t>
        </is>
      </c>
      <c r="B21" s="2" t="inlineStr">
        <is>
          <t>Ally Waste</t>
        </is>
      </c>
    </row>
    <row r="22">
      <c r="A22" s="2" t="inlineStr">
        <is>
          <t>Municipal Service</t>
        </is>
      </c>
      <c r="B22" s="2" t="inlineStr">
        <is>
          <t>City of Glendale</t>
        </is>
      </c>
    </row>
    <row r="23">
      <c r="A23" s="2" t="inlineStr">
        <is>
          <t>Service Type</t>
        </is>
      </c>
      <c r="B23" s="2" t="inlineStr">
        <is>
          <t>Bulk Trash + Municipal Waste Collection</t>
        </is>
      </c>
    </row>
    <row r="24">
      <c r="A24" s="2" t="inlineStr"/>
    </row>
    <row r="25">
      <c r="A25" s="3" t="inlineStr">
        <is>
          <t>DATA AVAILABILITY ASSESSMENT</t>
        </is>
      </c>
    </row>
    <row r="26">
      <c r="A26" s="2" t="inlineStr">
        <is>
          <t>Invoice Amounts</t>
        </is>
      </c>
      <c r="B26" s="5" t="inlineStr">
        <is>
          <t>✓ Available</t>
        </is>
      </c>
    </row>
    <row r="27">
      <c r="A27" s="2" t="inlineStr">
        <is>
          <t>Invoice Dates</t>
        </is>
      </c>
      <c r="B27" s="5" t="inlineStr">
        <is>
          <t>✓ Available</t>
        </is>
      </c>
    </row>
    <row r="28">
      <c r="A28" s="2" t="inlineStr">
        <is>
          <t>Unit Count</t>
        </is>
      </c>
      <c r="B28" s="4" t="inlineStr">
        <is>
          <t>✗ NOT AVAILABLE - Manual entry required</t>
        </is>
      </c>
    </row>
    <row r="29">
      <c r="A29" s="2" t="inlineStr">
        <is>
          <t>Service Specifications</t>
        </is>
      </c>
      <c r="B29" s="4" t="inlineStr">
        <is>
          <t>✗ NOT AVAILABLE - Contract is image-based PDF</t>
        </is>
      </c>
    </row>
    <row r="30">
      <c r="A30" s="2" t="inlineStr">
        <is>
          <t>Tonnage/Volume Data</t>
        </is>
      </c>
      <c r="B30" s="4" t="inlineStr">
        <is>
          <t>✗ NOT AVAILABLE</t>
        </is>
      </c>
    </row>
    <row r="31">
      <c r="A31" s="2" t="inlineStr"/>
    </row>
    <row r="32">
      <c r="A32" s="3" t="inlineStr">
        <is>
          <t>OPTIMIZATION ANALYSIS STATUS</t>
        </is>
      </c>
    </row>
    <row r="33">
      <c r="A33" s="2" t="inlineStr">
        <is>
          <t>Status</t>
        </is>
      </c>
      <c r="B33" s="2" t="inlineStr">
        <is>
          <t>INCOMPLETE - Requires unit count and service specifications</t>
        </is>
      </c>
    </row>
    <row r="34">
      <c r="A34" s="2" t="inlineStr">
        <is>
          <t>Required for Analysis</t>
        </is>
      </c>
      <c r="B34" s="2" t="inlineStr">
        <is>
          <t>1) Unit count from contract, 2) Service specifications, 3) Tonnage/volume data</t>
        </is>
      </c>
    </row>
    <row r="35">
      <c r="A35" s="2" t="inlineStr"/>
    </row>
    <row r="36">
      <c r="A36" s="2" t="inlineStr">
        <is>
          <t>KEY FINDINGS (Based on Available Data)</t>
        </is>
      </c>
    </row>
    <row r="37">
      <c r="A37" s="2" t="inlineStr">
        <is>
          <t>1. Invoice Data Quality</t>
        </is>
      </c>
      <c r="B37" s="2" t="inlineStr">
        <is>
          <t>Complete - All invoice amounts available</t>
        </is>
      </c>
    </row>
    <row r="38">
      <c r="A38" s="2" t="inlineStr">
        <is>
          <t>2. Dual Vendor Setup</t>
        </is>
      </c>
      <c r="B38" s="2" t="inlineStr">
        <is>
          <t>Property uses both Ally Waste (bulk) and City of Glendale (municipal)</t>
        </is>
      </c>
    </row>
    <row r="39">
      <c r="A39" s="2" t="inlineStr">
        <is>
          <t>3. Ally Waste Spend</t>
        </is>
      </c>
      <c r="B39" s="2" t="inlineStr">
        <is>
          <t>$5,511.84 over 11 invoices</t>
        </is>
      </c>
    </row>
    <row r="40">
      <c r="A40" s="2" t="inlineStr">
        <is>
          <t>4. City Spend</t>
        </is>
      </c>
      <c r="B40" s="2" t="inlineStr">
        <is>
          <t>$24,372.21 over 12 invoices</t>
        </is>
      </c>
    </row>
    <row r="41">
      <c r="A41" s="2" t="inlineStr"/>
    </row>
    <row r="42">
      <c r="A42" s="3" t="inlineStr">
        <is>
          <t>DATA GAPS</t>
        </is>
      </c>
    </row>
    <row r="43">
      <c r="A43" s="2" t="inlineStr">
        <is>
          <t>Critical Gap #1</t>
        </is>
      </c>
      <c r="B43" s="2" t="inlineStr">
        <is>
          <t>Unit count not available - Required for per-door calculations</t>
        </is>
      </c>
    </row>
    <row r="44">
      <c r="A44" s="2" t="inlineStr">
        <is>
          <t>Critical Gap #2</t>
        </is>
      </c>
      <c r="B44" s="2" t="inlineStr">
        <is>
          <t>Service specifications not available - Contract is image-based PDF</t>
        </is>
      </c>
    </row>
    <row r="45">
      <c r="A45" s="2" t="inlineStr">
        <is>
          <t>Critical Gap #3</t>
        </is>
      </c>
      <c r="B45" s="2" t="inlineStr">
        <is>
          <t>No tonnage or volume data - Cannot calculate yards per door</t>
        </is>
      </c>
    </row>
    <row r="46">
      <c r="A46" s="2" t="inlineStr">
        <is>
          <t>Impact</t>
        </is>
      </c>
      <c r="B46" s="2" t="inlineStr">
        <is>
          <t>Cannot perform optimization analysis or benchmark comparisons</t>
        </is>
      </c>
    </row>
    <row r="47">
      <c r="A47" s="2" t="inlineStr"/>
    </row>
    <row r="48">
      <c r="A48" s="3" t="inlineStr">
        <is>
          <t>NEXT STEPS</t>
        </is>
      </c>
    </row>
    <row r="49">
      <c r="A49" s="2" t="inlineStr">
        <is>
          <t>1. Extract unit count</t>
        </is>
      </c>
      <c r="B49" s="2" t="inlineStr">
        <is>
          <t>Review WCI Bulk Agreement contract manually</t>
        </is>
      </c>
    </row>
    <row r="50">
      <c r="A50" s="2" t="inlineStr">
        <is>
          <t>2. Document service specs</t>
        </is>
      </c>
      <c r="B50" s="2" t="inlineStr">
        <is>
          <t>Identify container types, sizes, and frequencies</t>
        </is>
      </c>
    </row>
    <row r="51">
      <c r="A51" s="2" t="inlineStr">
        <is>
          <t>3. Obtain tonnage data</t>
        </is>
      </c>
      <c r="B51" s="2" t="inlineStr">
        <is>
          <t>Request from vendors if compactor service</t>
        </is>
      </c>
    </row>
    <row r="52">
      <c r="A52" s="2" t="inlineStr">
        <is>
          <t>4. Re-run analysis</t>
        </is>
      </c>
      <c r="B52" s="2" t="inlineStr">
        <is>
          <t>Once data gaps filled, regenerate with optimization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EXPENSE ANALYSIS - Monthly Breakdown</t>
        </is>
      </c>
    </row>
    <row r="3">
      <c r="A3" s="3" t="inlineStr">
        <is>
          <t>Month</t>
        </is>
      </c>
      <c r="B3" s="3" t="inlineStr">
        <is>
          <t>Ally Waste</t>
        </is>
      </c>
      <c r="C3" s="3" t="inlineStr">
        <is>
          <t>City of Glendale</t>
        </is>
      </c>
      <c r="D3" s="3" t="inlineStr">
        <is>
          <t>Total</t>
        </is>
      </c>
      <c r="E3" s="3" t="inlineStr">
        <is>
          <t>Invoice Count</t>
        </is>
      </c>
    </row>
    <row r="4">
      <c r="A4" s="2" t="inlineStr">
        <is>
          <t>2024-11</t>
        </is>
      </c>
      <c r="B4" s="7" t="n">
        <v>430.92</v>
      </c>
      <c r="C4" s="7" t="n">
        <v>1978.72</v>
      </c>
      <c r="D4" s="7" t="n">
        <v>2409.64</v>
      </c>
      <c r="E4" s="2" t="n">
        <v>2</v>
      </c>
    </row>
    <row r="5">
      <c r="A5" s="2" t="inlineStr">
        <is>
          <t>2024-12</t>
        </is>
      </c>
      <c r="B5" s="7" t="n">
        <v>625.92</v>
      </c>
      <c r="C5" s="7" t="n">
        <v>1870.29</v>
      </c>
      <c r="D5" s="7" t="n">
        <v>2496.21</v>
      </c>
      <c r="E5" s="2" t="n">
        <v>2</v>
      </c>
    </row>
    <row r="6">
      <c r="A6" s="2" t="inlineStr">
        <is>
          <t>2025-01</t>
        </is>
      </c>
      <c r="B6" s="7" t="n">
        <v>495</v>
      </c>
      <c r="C6" s="7" t="n">
        <v>1870.29</v>
      </c>
      <c r="D6" s="7" t="n">
        <v>2365.29</v>
      </c>
      <c r="E6" s="2" t="n">
        <v>2</v>
      </c>
    </row>
    <row r="7">
      <c r="A7" s="2" t="inlineStr">
        <is>
          <t>2025-02</t>
        </is>
      </c>
      <c r="B7" s="7" t="n">
        <v>495</v>
      </c>
      <c r="C7" s="7" t="n">
        <v>1923.28</v>
      </c>
      <c r="D7" s="7" t="n">
        <v>2418.28</v>
      </c>
      <c r="E7" s="2" t="n">
        <v>2</v>
      </c>
    </row>
    <row r="8">
      <c r="A8" s="2" t="inlineStr">
        <is>
          <t>2025-03</t>
        </is>
      </c>
      <c r="B8" s="7" t="n">
        <v>495</v>
      </c>
      <c r="C8" s="7" t="n">
        <v>2077.65</v>
      </c>
      <c r="D8" s="7" t="n">
        <v>2572.65</v>
      </c>
      <c r="E8" s="2" t="n">
        <v>2</v>
      </c>
    </row>
    <row r="9">
      <c r="A9" s="2" t="inlineStr">
        <is>
          <t>2025-04</t>
        </is>
      </c>
      <c r="B9" s="7" t="n">
        <v>495</v>
      </c>
      <c r="C9" s="7" t="n">
        <v>2077.65</v>
      </c>
      <c r="D9" s="7" t="n">
        <v>2572.65</v>
      </c>
      <c r="E9" s="2" t="n">
        <v>2</v>
      </c>
    </row>
    <row r="10">
      <c r="A10" s="2" t="inlineStr">
        <is>
          <t>2025-05</t>
        </is>
      </c>
      <c r="B10" s="7" t="n">
        <v>495</v>
      </c>
      <c r="C10" s="7" t="n">
        <v>2077.65</v>
      </c>
      <c r="D10" s="7" t="n">
        <v>2572.65</v>
      </c>
      <c r="E10" s="2" t="n">
        <v>2</v>
      </c>
    </row>
    <row r="11">
      <c r="A11" s="2" t="inlineStr">
        <is>
          <t>2025-06</t>
        </is>
      </c>
      <c r="B11" s="7" t="n">
        <v>495</v>
      </c>
      <c r="C11" s="7" t="n">
        <v>2077.65</v>
      </c>
      <c r="D11" s="7" t="n">
        <v>2572.65</v>
      </c>
      <c r="E11" s="2" t="n">
        <v>2</v>
      </c>
    </row>
    <row r="12">
      <c r="A12" s="2" t="inlineStr">
        <is>
          <t>2025-07</t>
        </is>
      </c>
      <c r="B12" s="7" t="n">
        <v>495</v>
      </c>
      <c r="C12" s="7" t="n">
        <v>2077.65</v>
      </c>
      <c r="D12" s="7" t="n">
        <v>2572.65</v>
      </c>
      <c r="E12" s="2" t="n">
        <v>2</v>
      </c>
    </row>
    <row r="13">
      <c r="A13" s="2" t="inlineStr">
        <is>
          <t>2025-08</t>
        </is>
      </c>
      <c r="B13" s="7" t="n">
        <v>495</v>
      </c>
      <c r="C13" s="7" t="n">
        <v>2186.08</v>
      </c>
      <c r="D13" s="7" t="n">
        <v>2681.08</v>
      </c>
      <c r="E13" s="2" t="n">
        <v>2</v>
      </c>
    </row>
    <row r="14">
      <c r="A14" s="2" t="inlineStr">
        <is>
          <t>2025-09</t>
        </is>
      </c>
      <c r="B14" s="7" t="n">
        <v>495</v>
      </c>
      <c r="C14" s="7" t="n">
        <v>2077.65</v>
      </c>
      <c r="D14" s="7" t="n">
        <v>2572.65</v>
      </c>
      <c r="E14" s="2" t="n">
        <v>2</v>
      </c>
    </row>
    <row r="15">
      <c r="A15" s="2" t="inlineStr">
        <is>
          <t>2025-10</t>
        </is>
      </c>
      <c r="B15" s="7" t="n">
        <v>0</v>
      </c>
      <c r="C15" s="7" t="n">
        <v>2077.65</v>
      </c>
      <c r="D15" s="7" t="n">
        <v>2077.65</v>
      </c>
      <c r="E15" s="2" t="n">
        <v>1</v>
      </c>
    </row>
    <row r="16">
      <c r="A16" s="8" t="inlineStr">
        <is>
          <t>TOTALS</t>
        </is>
      </c>
      <c r="B16" s="9">
        <f>SUM(B4:B15)</f>
        <v/>
      </c>
      <c r="C16" s="9">
        <f>SUM(C4:C15)</f>
        <v/>
      </c>
      <c r="D16" s="9">
        <f>SUM(D4:D15)</f>
        <v/>
      </c>
      <c r="E16" s="8">
        <f>SUM(E4:E15)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OPTIMIZATION ANALYSIS - Pavilions at Arrowhead</t>
        </is>
      </c>
    </row>
    <row r="2">
      <c r="A2" s="2" t="inlineStr"/>
    </row>
    <row r="3">
      <c r="A3" s="10" t="inlineStr">
        <is>
          <t>STATUS: INCOMPLETE</t>
        </is>
      </c>
    </row>
    <row r="4">
      <c r="A4" s="2" t="inlineStr">
        <is>
          <t>Reason: Insufficient data for optimization analysis</t>
        </is>
      </c>
    </row>
    <row r="5">
      <c r="A5" s="2" t="inlineStr"/>
    </row>
    <row r="6">
      <c r="A6" s="11" t="inlineStr">
        <is>
          <t>REQUIRED DATA (Currently Missing):</t>
        </is>
      </c>
    </row>
    <row r="7">
      <c r="A7" s="2" t="inlineStr">
        <is>
          <t>1. Unit Count</t>
        </is>
      </c>
      <c r="B7" s="2" t="inlineStr">
        <is>
          <t>Required for yards/door and cost/door calculations</t>
        </is>
      </c>
    </row>
    <row r="8">
      <c r="A8" s="2" t="inlineStr">
        <is>
          <t>2. Service Specifications</t>
        </is>
      </c>
      <c r="B8" s="2" t="inlineStr">
        <is>
          <t>Container types, sizes, frequencies</t>
        </is>
      </c>
    </row>
    <row r="9">
      <c r="A9" s="2" t="inlineStr">
        <is>
          <t>3. Tonnage/Volume Data</t>
        </is>
      </c>
      <c r="B9" s="2" t="inlineStr">
        <is>
          <t>Required for service utilization analysis</t>
        </is>
      </c>
    </row>
    <row r="10">
      <c r="A10" s="2" t="inlineStr"/>
    </row>
    <row r="11">
      <c r="A11" s="2" t="inlineStr">
        <is>
          <t>OPTIMIZATION TRIGGERS (Cannot Evaluate):</t>
        </is>
      </c>
    </row>
    <row r="12">
      <c r="A12" s="2" t="inlineStr"/>
    </row>
    <row r="13">
      <c r="A13" s="2" t="inlineStr">
        <is>
          <t>Compactor Optimization Trigger:</t>
        </is>
      </c>
    </row>
    <row r="14">
      <c r="A14" s="2" t="inlineStr">
        <is>
          <t>- Average tons per haul &lt; 6 tons</t>
        </is>
      </c>
      <c r="B14" s="11" t="inlineStr">
        <is>
          <t>✗ No tonnage data available</t>
        </is>
      </c>
    </row>
    <row r="15">
      <c r="A15" s="2" t="inlineStr">
        <is>
          <t>- Days between pickups ≤ 14 days (after optimization)</t>
        </is>
      </c>
      <c r="B15" s="11" t="inlineStr">
        <is>
          <t>✗ No service frequency data available</t>
        </is>
      </c>
    </row>
    <row r="16">
      <c r="A16" s="2" t="inlineStr"/>
    </row>
    <row r="17">
      <c r="A17" s="2" t="inlineStr">
        <is>
          <t>Contamination Reduction Trigger:</t>
        </is>
      </c>
    </row>
    <row r="18">
      <c r="A18" s="2" t="inlineStr">
        <is>
          <t>- Contamination charges &gt; 3% of total spend</t>
        </is>
      </c>
      <c r="B18" s="11" t="inlineStr">
        <is>
          <t>✗ No contamination charge data available</t>
        </is>
      </c>
    </row>
    <row r="19">
      <c r="A19" s="2" t="inlineStr"/>
    </row>
    <row r="20">
      <c r="A20" s="2" t="inlineStr">
        <is>
          <t>Bulk Subscription Trigger:</t>
        </is>
      </c>
    </row>
    <row r="21">
      <c r="A21" s="2" t="inlineStr">
        <is>
          <t>- Average monthly bulk trash &gt; $500</t>
        </is>
      </c>
      <c r="B21" s="12" t="inlineStr">
        <is>
          <t>⚠️ Ally Waste average: $501.08/month</t>
        </is>
      </c>
    </row>
    <row r="22">
      <c r="A22" s="2" t="inlineStr">
        <is>
          <t>- Analysis</t>
        </is>
      </c>
      <c r="B22" s="2" t="inlineStr">
        <is>
          <t>Current Ally Waste spend suggests bulk subscription active</t>
        </is>
      </c>
    </row>
    <row r="23">
      <c r="A23" s="2" t="inlineStr"/>
    </row>
    <row r="24">
      <c r="A24" s="2" t="inlineStr">
        <is>
          <t>DATA COLLECTION PLAN:</t>
        </is>
      </c>
    </row>
    <row r="25">
      <c r="A25" s="2" t="inlineStr"/>
    </row>
    <row r="26">
      <c r="A26" s="2" t="inlineStr">
        <is>
          <t>Step 1: Extract Unit Count</t>
        </is>
      </c>
    </row>
    <row r="27">
      <c r="A27" s="2" t="inlineStr">
        <is>
          <t>Source</t>
        </is>
      </c>
      <c r="B27" s="2" t="inlineStr">
        <is>
          <t>WCI Bulk Agreement contract (image-based PDF)</t>
        </is>
      </c>
    </row>
    <row r="28">
      <c r="A28" s="2" t="inlineStr">
        <is>
          <t>Method</t>
        </is>
      </c>
      <c r="B28" s="2" t="inlineStr">
        <is>
          <t>Manual review or OCR extraction</t>
        </is>
      </c>
    </row>
    <row r="29">
      <c r="A29" s="2" t="inlineStr">
        <is>
          <t>Priority</t>
        </is>
      </c>
      <c r="B29" s="4" t="inlineStr">
        <is>
          <t>CRITICAL - Required for all per-door calculations</t>
        </is>
      </c>
    </row>
    <row r="30">
      <c r="A30" s="2" t="inlineStr"/>
    </row>
    <row r="31">
      <c r="A31" s="2" t="inlineStr">
        <is>
          <t>Step 2: Document Service Specifications</t>
        </is>
      </c>
    </row>
    <row r="32">
      <c r="A32" s="2" t="inlineStr">
        <is>
          <t>Source</t>
        </is>
      </c>
      <c r="B32" s="2" t="inlineStr">
        <is>
          <t>WCI Bulk Agreement + City of Glendale contract</t>
        </is>
      </c>
    </row>
    <row r="33">
      <c r="A33" s="2" t="inlineStr">
        <is>
          <t>Information Needed</t>
        </is>
      </c>
      <c r="B33" s="2" t="inlineStr">
        <is>
          <t>Container types, sizes, pickup frequencies</t>
        </is>
      </c>
    </row>
    <row r="34">
      <c r="A34" s="2" t="inlineStr">
        <is>
          <t>Priority</t>
        </is>
      </c>
      <c r="B34" s="13" t="inlineStr">
        <is>
          <t>HIGH - Required for service utilization analysis</t>
        </is>
      </c>
    </row>
    <row r="35">
      <c r="A35" s="2" t="inlineStr"/>
    </row>
    <row r="36">
      <c r="A36" s="2" t="inlineStr">
        <is>
          <t>Step 3: Obtain Tonnage Data (if applicable)</t>
        </is>
      </c>
    </row>
    <row r="37">
      <c r="A37" s="2" t="inlineStr">
        <is>
          <t>Source</t>
        </is>
      </c>
      <c r="B37" s="2" t="inlineStr">
        <is>
          <t>Vendor invoices or waste hauler reports</t>
        </is>
      </c>
    </row>
    <row r="38">
      <c r="A38" s="2" t="inlineStr">
        <is>
          <t>Information Needed</t>
        </is>
      </c>
      <c r="B38" s="2" t="inlineStr">
        <is>
          <t>Monthly tonnage, haul counts</t>
        </is>
      </c>
    </row>
    <row r="39">
      <c r="A39" s="2" t="inlineStr">
        <is>
          <t>Priority</t>
        </is>
      </c>
      <c r="B39" s="2" t="inlineStr">
        <is>
          <t>MEDIUM - Required for compactor optimization only</t>
        </is>
      </c>
    </row>
    <row r="40">
      <c r="A40" s="2" t="inlineStr"/>
    </row>
    <row r="41">
      <c r="A41" s="2" t="inlineStr">
        <is>
          <t>ONCE DATA AVAILABLE:</t>
        </is>
      </c>
    </row>
    <row r="42">
      <c r="A42" s="2" t="inlineStr">
        <is>
          <t>□ Calculate Cost Per Door</t>
        </is>
      </c>
      <c r="B42" s="2" t="inlineStr">
        <is>
          <t>Formula: Monthly Cost / Units</t>
        </is>
      </c>
    </row>
    <row r="43">
      <c r="A43" s="2" t="inlineStr">
        <is>
          <t>□ Calculate Yards Per Door</t>
        </is>
      </c>
      <c r="B43" s="2" t="inlineStr">
        <is>
          <t>Formula: (Tons × 14.49) / Units OR (Qty × Size × Freq × 4.33) / Units</t>
        </is>
      </c>
    </row>
    <row r="44">
      <c r="A44" s="2" t="inlineStr">
        <is>
          <t>□ Benchmark Comparison</t>
        </is>
      </c>
      <c r="B44" s="2" t="inlineStr">
        <is>
          <t>Compare against property-type standards (Garden/Mid-Rise/Hi-Rise)</t>
        </is>
      </c>
    </row>
    <row r="45">
      <c r="A45" s="2" t="inlineStr">
        <is>
          <t>□ Optimization Opportunities</t>
        </is>
      </c>
      <c r="B45" s="2" t="inlineStr">
        <is>
          <t>Identify compactor, contamination, or bulk optimization triggers</t>
        </is>
      </c>
    </row>
    <row r="46">
      <c r="A46" s="2" t="inlineStr">
        <is>
          <t>□ Generate Recommendations</t>
        </is>
      </c>
      <c r="B46" s="2" t="inlineStr">
        <is>
          <t>ONLY if triggers met - No hallucinated savings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WASTEWISE ANALYTICS - QUALITY VALIDATION REPORT</t>
        </is>
      </c>
    </row>
    <row r="2">
      <c r="A2" s="2" t="inlineStr">
        <is>
          <t>Property: Pavilions at Arrowhead</t>
        </is>
      </c>
    </row>
    <row r="3">
      <c r="A3" s="2" t="inlineStr">
        <is>
          <t>Generated: 2025-11-03 15:20:12</t>
        </is>
      </c>
    </row>
    <row r="4">
      <c r="A4" s="2" t="inlineStr"/>
    </row>
    <row r="5">
      <c r="A5" s="3" t="inlineStr">
        <is>
          <t>VALIDATION CHECKS</t>
        </is>
      </c>
    </row>
    <row r="6">
      <c r="A6" s="2" t="inlineStr"/>
    </row>
    <row r="7">
      <c r="A7" s="2" t="inlineStr">
        <is>
          <t>1. Contract Tab Check</t>
        </is>
      </c>
    </row>
    <row r="8">
      <c r="A8" s="2" t="inlineStr">
        <is>
          <t>Status</t>
        </is>
      </c>
      <c r="B8" s="13" t="inlineStr">
        <is>
          <t>⚠️ PARTIAL - Contract file found but is image-based PDF</t>
        </is>
      </c>
    </row>
    <row r="9">
      <c r="A9" s="2" t="inlineStr">
        <is>
          <t>Contract File</t>
        </is>
      </c>
      <c r="B9" s="2" t="inlineStr">
        <is>
          <t>Pavilions at Arrowhead - Waste Consolidators Inc Bulk Agreement.pdf (1.2MB)</t>
        </is>
      </c>
    </row>
    <row r="10">
      <c r="A10" s="2" t="inlineStr">
        <is>
          <t>Issue</t>
        </is>
      </c>
      <c r="B10" s="2" t="inlineStr">
        <is>
          <t>Cannot extract text - requires manual review</t>
        </is>
      </c>
    </row>
    <row r="11">
      <c r="A11" s="2" t="inlineStr"/>
    </row>
    <row r="12">
      <c r="A12" s="2" t="inlineStr">
        <is>
          <t>2. Data Completeness Check</t>
        </is>
      </c>
    </row>
    <row r="13">
      <c r="A13" s="2" t="inlineStr">
        <is>
          <t>Invoice Amounts</t>
        </is>
      </c>
      <c r="B13" s="5" t="inlineStr">
        <is>
          <t>✓ PASS - All amounts available from source files</t>
        </is>
      </c>
    </row>
    <row r="14">
      <c r="A14" s="2" t="inlineStr">
        <is>
          <t>Invoice Dates</t>
        </is>
      </c>
      <c r="B14" s="5" t="inlineStr">
        <is>
          <t>✓ PASS - All dates available</t>
        </is>
      </c>
    </row>
    <row r="15">
      <c r="A15" s="2" t="inlineStr">
        <is>
          <t>Unit Count</t>
        </is>
      </c>
      <c r="B15" s="4" t="inlineStr">
        <is>
          <t>✗ FAIL - Not available in data</t>
        </is>
      </c>
    </row>
    <row r="16">
      <c r="A16" s="2" t="inlineStr">
        <is>
          <t>Service Specifications</t>
        </is>
      </c>
      <c r="B16" s="4" t="inlineStr">
        <is>
          <t>✗ FAIL - Not available (image-based contract)</t>
        </is>
      </c>
    </row>
    <row r="17">
      <c r="A17" s="2" t="inlineStr">
        <is>
          <t>Tonnage/Volume Data</t>
        </is>
      </c>
      <c r="B17" s="4" t="inlineStr">
        <is>
          <t>✗ FAIL - Not available</t>
        </is>
      </c>
    </row>
    <row r="18">
      <c r="A18" s="2" t="inlineStr">
        <is>
          <t>Overall Status</t>
        </is>
      </c>
      <c r="B18" s="13" t="inlineStr">
        <is>
          <t>⚠️ PARTIAL - Critical data gaps exist</t>
        </is>
      </c>
    </row>
    <row r="19">
      <c r="A19" s="2" t="inlineStr"/>
    </row>
    <row r="20">
      <c r="A20" s="2" t="inlineStr">
        <is>
          <t>3. Formula Accuracy Check</t>
        </is>
      </c>
    </row>
    <row r="21">
      <c r="A21" s="2" t="inlineStr">
        <is>
          <t>Monthly Calculations</t>
        </is>
      </c>
      <c r="B21" s="5" t="inlineStr">
        <is>
          <t>✓ PASS - All monthly totals use SUM formulas</t>
        </is>
      </c>
    </row>
    <row r="22">
      <c r="A22" s="2" t="inlineStr">
        <is>
          <t>Cost Per Door</t>
        </is>
      </c>
      <c r="B22" s="14" t="inlineStr">
        <is>
          <t>⊘ SKIPPED - Requires unit count</t>
        </is>
      </c>
    </row>
    <row r="23">
      <c r="A23" s="2" t="inlineStr">
        <is>
          <t>Yards Per Door</t>
        </is>
      </c>
      <c r="B23" s="14" t="inlineStr">
        <is>
          <t>⊘ SKIPPED - Requires unit count + service specs</t>
        </is>
      </c>
    </row>
    <row r="24">
      <c r="A24" s="2" t="inlineStr">
        <is>
          <t>Overall Status</t>
        </is>
      </c>
      <c r="B24" s="5" t="inlineStr">
        <is>
          <t>✓ PASS (within constraints)</t>
        </is>
      </c>
    </row>
    <row r="25">
      <c r="A25" s="2" t="inlineStr"/>
    </row>
    <row r="26">
      <c r="A26" s="2" t="inlineStr">
        <is>
          <t>4. Optimization Criteria Check</t>
        </is>
      </c>
    </row>
    <row r="27">
      <c r="A27" s="2" t="inlineStr">
        <is>
          <t>Compactor Trigger</t>
        </is>
      </c>
      <c r="B27" s="14" t="inlineStr">
        <is>
          <t>⊘ CANNOT EVALUATE - No tonnage data</t>
        </is>
      </c>
    </row>
    <row r="28">
      <c r="A28" s="2" t="inlineStr">
        <is>
          <t>Contamination Trigger</t>
        </is>
      </c>
      <c r="B28" s="14" t="inlineStr">
        <is>
          <t>⊘ CANNOT EVALUATE - No contamination charge data</t>
        </is>
      </c>
    </row>
    <row r="29">
      <c r="A29" s="2" t="inlineStr">
        <is>
          <t>Bulk Trigger</t>
        </is>
      </c>
      <c r="B29" s="13" t="inlineStr">
        <is>
          <t>⚠️ PARTIAL - Ally Waste data suggests active subscription</t>
        </is>
      </c>
    </row>
    <row r="30">
      <c r="A30" s="2" t="inlineStr">
        <is>
          <t>Overall Status</t>
        </is>
      </c>
      <c r="B30" s="14" t="inlineStr">
        <is>
          <t>⊘ INCOMPLETE - Insufficient data</t>
        </is>
      </c>
    </row>
    <row r="31">
      <c r="A31" s="2" t="inlineStr"/>
    </row>
    <row r="32">
      <c r="A32" s="2" t="inlineStr">
        <is>
          <t>5. Sheet Structure Check</t>
        </is>
      </c>
    </row>
    <row r="33">
      <c r="A33" s="2" t="inlineStr">
        <is>
          <t>SUMMARY_FULL</t>
        </is>
      </c>
      <c r="B33" s="5" t="inlineStr">
        <is>
          <t>✓ PASS</t>
        </is>
      </c>
    </row>
    <row r="34">
      <c r="A34" s="2" t="inlineStr">
        <is>
          <t>EXPENSE_ANALYSIS</t>
        </is>
      </c>
      <c r="B34" s="5" t="inlineStr">
        <is>
          <t>✓ PASS</t>
        </is>
      </c>
    </row>
    <row r="35">
      <c r="A35" s="2" t="inlineStr">
        <is>
          <t>OPTIMIZATION</t>
        </is>
      </c>
      <c r="B35" s="5" t="inlineStr">
        <is>
          <t>✓ PASS</t>
        </is>
      </c>
    </row>
    <row r="36">
      <c r="A36" s="2" t="inlineStr">
        <is>
          <t>QUALITY_CHECK</t>
        </is>
      </c>
      <c r="B36" s="5" t="inlineStr">
        <is>
          <t>✓ PASS</t>
        </is>
      </c>
    </row>
    <row r="37">
      <c r="A37" s="2" t="inlineStr">
        <is>
          <t>DOCUMENTATION_NOTES</t>
        </is>
      </c>
      <c r="B37" s="5" t="inlineStr">
        <is>
          <t>✓ PASS</t>
        </is>
      </c>
    </row>
    <row r="38">
      <c r="A38" s="2" t="inlineStr">
        <is>
          <t>CONTRACT_TERMS</t>
        </is>
      </c>
      <c r="B38" s="5" t="inlineStr">
        <is>
          <t>✓ PASS</t>
        </is>
      </c>
    </row>
    <row r="39">
      <c r="A39" s="2" t="inlineStr">
        <is>
          <t>Overall Status</t>
        </is>
      </c>
      <c r="B39" s="5" t="inlineStr">
        <is>
          <t>✓ PASS - All 6 sheets present</t>
        </is>
      </c>
    </row>
    <row r="40">
      <c r="A40" s="2" t="inlineStr"/>
    </row>
    <row r="41">
      <c r="A41" s="2" t="inlineStr">
        <is>
          <t>6. Cross-Validation Check</t>
        </is>
      </c>
    </row>
    <row r="42">
      <c r="A42" s="2" t="inlineStr">
        <is>
          <t>Total Spend Consistency</t>
        </is>
      </c>
      <c r="B42" s="5" t="inlineStr">
        <is>
          <t>✓ PASS - Matches across sheets</t>
        </is>
      </c>
    </row>
    <row r="43">
      <c r="A43" s="2" t="inlineStr">
        <is>
          <t>Date Range Consistency</t>
        </is>
      </c>
      <c r="B43" s="5" t="inlineStr">
        <is>
          <t>✓ PASS - Consistent across analysis</t>
        </is>
      </c>
    </row>
    <row r="44">
      <c r="A44" s="2" t="inlineStr">
        <is>
          <t>Vendor Data Integrity</t>
        </is>
      </c>
      <c r="B44" s="5" t="inlineStr">
        <is>
          <t>✓ PASS - No cross-contamination from other properties</t>
        </is>
      </c>
    </row>
    <row r="45">
      <c r="A45" s="2" t="inlineStr">
        <is>
          <t>Overall Status</t>
        </is>
      </c>
      <c r="B45" s="5" t="inlineStr">
        <is>
          <t>✓ PASS</t>
        </is>
      </c>
    </row>
    <row r="46">
      <c r="A46" s="2" t="inlineStr"/>
    </row>
    <row r="47">
      <c r="A47" s="3" t="inlineStr">
        <is>
          <t>OVERALL VALIDATION RESULT</t>
        </is>
      </c>
    </row>
    <row r="48">
      <c r="A48" s="2" t="inlineStr">
        <is>
          <t>Status</t>
        </is>
      </c>
      <c r="B48" s="13" t="inlineStr">
        <is>
          <t>⚠️ PARTIAL PASS</t>
        </is>
      </c>
    </row>
    <row r="49">
      <c r="A49" s="2" t="inlineStr">
        <is>
          <t>Data Quality</t>
        </is>
      </c>
      <c r="B49" s="2" t="inlineStr">
        <is>
          <t>Good - Invoice data complete and accurate</t>
        </is>
      </c>
    </row>
    <row r="50">
      <c r="A50" s="2" t="inlineStr">
        <is>
          <t>Calculation Accuracy</t>
        </is>
      </c>
      <c r="B50" s="2" t="inlineStr">
        <is>
          <t>Good - All formulas correct within data constraints</t>
        </is>
      </c>
    </row>
    <row r="51">
      <c r="A51" s="2" t="inlineStr">
        <is>
          <t>Completeness</t>
        </is>
      </c>
      <c r="B51" s="2" t="inlineStr">
        <is>
          <t>Incomplete - Missing critical data for full analysis</t>
        </is>
      </c>
    </row>
    <row r="52">
      <c r="A52" s="2" t="inlineStr">
        <is>
          <t>Recommendation</t>
        </is>
      </c>
      <c r="B52" s="2" t="inlineStr">
        <is>
          <t>Obtain unit count and service specifications to enable complete analysis</t>
        </is>
      </c>
    </row>
    <row r="53">
      <c r="A53" s="2" t="inlineStr"/>
    </row>
    <row r="54">
      <c r="A54" s="3" t="inlineStr">
        <is>
          <t>DATA GAPS SUMMARY</t>
        </is>
      </c>
    </row>
    <row r="55">
      <c r="A55" s="2" t="inlineStr">
        <is>
          <t>Critical Gaps</t>
        </is>
      </c>
      <c r="B55" s="2" t="inlineStr">
        <is>
          <t>3 items</t>
        </is>
      </c>
    </row>
    <row r="56">
      <c r="A56" s="2" t="inlineStr">
        <is>
          <t>1</t>
        </is>
      </c>
      <c r="B56" s="2" t="inlineStr">
        <is>
          <t>Unit count - Required for per-door calculations</t>
        </is>
      </c>
    </row>
    <row r="57">
      <c r="A57" s="2" t="inlineStr">
        <is>
          <t>2</t>
        </is>
      </c>
      <c r="B57" s="2" t="inlineStr">
        <is>
          <t>Service specifications - Required for utilization analysis</t>
        </is>
      </c>
    </row>
    <row r="58">
      <c r="A58" s="2" t="inlineStr">
        <is>
          <t>3</t>
        </is>
      </c>
      <c r="B58" s="2" t="inlineStr">
        <is>
          <t>Tonnage/volume data - Required for optimization analysis</t>
        </is>
      </c>
    </row>
    <row r="59">
      <c r="A59" s="2" t="inlineStr"/>
    </row>
    <row r="60">
      <c r="A60" s="3" t="inlineStr">
        <is>
          <t>CONFIDENCE LEVEL</t>
        </is>
      </c>
    </row>
    <row r="61">
      <c r="A61" s="2" t="inlineStr">
        <is>
          <t>Invoice Data Accuracy</t>
        </is>
      </c>
      <c r="B61" s="2" t="inlineStr">
        <is>
          <t>HIGH - Extracted directly from source Excel files</t>
        </is>
      </c>
    </row>
    <row r="62">
      <c r="A62" s="2" t="inlineStr">
        <is>
          <t>Financial Calculations</t>
        </is>
      </c>
      <c r="B62" s="2" t="inlineStr">
        <is>
          <t>HIGH - Formulas validated against WasteWise standards</t>
        </is>
      </c>
    </row>
    <row r="63">
      <c r="A63" s="2" t="inlineStr">
        <is>
          <t>Optimization Analysis</t>
        </is>
      </c>
      <c r="B63" s="2" t="inlineStr">
        <is>
          <t>LOW - Insufficient data for recommendations</t>
        </is>
      </c>
    </row>
    <row r="64">
      <c r="A64" s="2" t="inlineStr">
        <is>
          <t>Overall Confidence</t>
        </is>
      </c>
      <c r="B64" s="2" t="inlineStr">
        <is>
          <t>MEDIUM - Good data quality but incomplete dataset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DOCUMENTATION &amp; METHODOLOGY</t>
        </is>
      </c>
    </row>
    <row r="2">
      <c r="A2" s="1" t="inlineStr">
        <is>
          <t>Pavilions at Arrowhead - WasteWise Analytics</t>
        </is>
      </c>
    </row>
    <row r="3">
      <c r="A3" s="2" t="inlineStr"/>
    </row>
    <row r="4">
      <c r="A4" s="3" t="inlineStr">
        <is>
          <t>ANALYSIS METHODOLOGY</t>
        </is>
      </c>
    </row>
    <row r="5">
      <c r="A5" s="2" t="inlineStr"/>
    </row>
    <row r="6">
      <c r="A6" s="2" t="inlineStr">
        <is>
          <t>Data Sources:</t>
        </is>
      </c>
    </row>
    <row r="7">
      <c r="A7" s="2" t="inlineStr">
        <is>
          <t>1. Invoice Data</t>
        </is>
      </c>
      <c r="B7" s="2" t="inlineStr">
        <is>
          <t>Pavilions - Ally Waste.xlsx (11 invoices)</t>
        </is>
      </c>
    </row>
    <row r="8">
      <c r="A8" s="2" t="inlineStr">
        <is>
          <t>2. Municipal Data</t>
        </is>
      </c>
      <c r="B8" s="2" t="inlineStr">
        <is>
          <t>Pavilions - City of Glendale Trash.xlsx (36 invoices, trash only)</t>
        </is>
      </c>
    </row>
    <row r="9">
      <c r="A9" s="2" t="inlineStr">
        <is>
          <t>3. Contract</t>
        </is>
      </c>
      <c r="B9" s="2" t="inlineStr">
        <is>
          <t>WCI Bulk Agreement.pdf (image-based, not extracted)</t>
        </is>
      </c>
    </row>
    <row r="10">
      <c r="A10" s="2" t="inlineStr"/>
    </row>
    <row r="11">
      <c r="A11" s="2" t="inlineStr">
        <is>
          <t>Data Processing:</t>
        </is>
      </c>
    </row>
    <row r="12">
      <c r="A12" s="2" t="inlineStr">
        <is>
          <t>- Combined Ally Waste and City of Glendale trash invoices</t>
        </is>
      </c>
    </row>
    <row r="13">
      <c r="A13" s="2" t="inlineStr">
        <is>
          <t>- Excluded sewer and water charges from City of Glendale data</t>
        </is>
      </c>
    </row>
    <row r="14">
      <c r="A14" s="2" t="inlineStr">
        <is>
          <t>- Analyzed 23 invoices from November 2024 to October 2025</t>
        </is>
      </c>
    </row>
    <row r="15">
      <c r="A15" s="2" t="inlineStr">
        <is>
          <t>- Aggregated to monthly periods for trend analysis</t>
        </is>
      </c>
    </row>
    <row r="16">
      <c r="A16" s="2" t="inlineStr"/>
    </row>
    <row r="17">
      <c r="A17" s="2" t="inlineStr">
        <is>
          <t>Calculation Standards:</t>
        </is>
      </c>
    </row>
    <row r="18">
      <c r="A18" s="2" t="inlineStr">
        <is>
          <t>Reference Document</t>
        </is>
      </c>
      <c r="B18" s="2" t="inlineStr">
        <is>
          <t>WasteWise_Calculations_Reference.md v2.0</t>
        </is>
      </c>
    </row>
    <row r="19">
      <c r="A19" s="2" t="inlineStr">
        <is>
          <t>Yards Per Door (Compactor)</t>
        </is>
      </c>
      <c r="B19" s="2" t="inlineStr">
        <is>
          <t>Formula: (Tons × 14.49) / Units</t>
        </is>
      </c>
    </row>
    <row r="20">
      <c r="A20" s="2" t="inlineStr">
        <is>
          <t>Yards Per Door (Dumpster)</t>
        </is>
      </c>
      <c r="B20" s="2" t="inlineStr">
        <is>
          <t>Formula: (Qty × Size × Freq × 4.33) / Units</t>
        </is>
      </c>
    </row>
    <row r="21">
      <c r="A21" s="2" t="inlineStr">
        <is>
          <t>Cost Per Door</t>
        </is>
      </c>
      <c r="B21" s="2" t="inlineStr">
        <is>
          <t>Formula: Monthly Cost / Units</t>
        </is>
      </c>
    </row>
    <row r="22">
      <c r="A22" s="2" t="inlineStr">
        <is>
          <t>Compactor Optimization Trigger</t>
        </is>
      </c>
      <c r="B22" s="2" t="inlineStr">
        <is>
          <t>Avg tons/haul &lt; 6 tons AND days between ≤ 14</t>
        </is>
      </c>
    </row>
    <row r="23">
      <c r="A23" s="2" t="inlineStr">
        <is>
          <t>Contamination Trigger</t>
        </is>
      </c>
      <c r="B23" s="2" t="inlineStr">
        <is>
          <t>Contamination charges &gt; 3% of total spend</t>
        </is>
      </c>
    </row>
    <row r="24">
      <c r="A24" s="2" t="inlineStr">
        <is>
          <t>Bulk Trigger</t>
        </is>
      </c>
      <c r="B24" s="2" t="inlineStr">
        <is>
          <t>Avg monthly bulk &gt; $500</t>
        </is>
      </c>
    </row>
    <row r="25">
      <c r="A25" s="2" t="inlineStr"/>
    </row>
    <row r="26">
      <c r="A26" s="3" t="inlineStr">
        <is>
          <t>DATA AVAILABILITY ASSESSMENT</t>
        </is>
      </c>
    </row>
    <row r="27">
      <c r="A27" s="2" t="inlineStr"/>
    </row>
    <row r="28">
      <c r="A28" s="2" t="inlineStr">
        <is>
          <t>Available Data:</t>
        </is>
      </c>
    </row>
    <row r="29">
      <c r="A29" s="15" t="inlineStr">
        <is>
          <t>✓ Invoice amounts</t>
        </is>
      </c>
      <c r="B29" s="2" t="inlineStr">
        <is>
          <t>Complete from source Excel files</t>
        </is>
      </c>
    </row>
    <row r="30">
      <c r="A30" s="15" t="inlineStr">
        <is>
          <t>✓ Invoice dates</t>
        </is>
      </c>
      <c r="B30" s="2" t="inlineStr">
        <is>
          <t>Complete for all 23 invoices</t>
        </is>
      </c>
    </row>
    <row r="31">
      <c r="A31" s="15" t="inlineStr">
        <is>
          <t>✓ Vendor information</t>
        </is>
      </c>
      <c r="B31" s="2" t="inlineStr">
        <is>
          <t>Ally Waste + City of Glendale</t>
        </is>
      </c>
    </row>
    <row r="32">
      <c r="A32" s="15" t="inlineStr">
        <is>
          <t>✓ Service periods</t>
        </is>
      </c>
      <c r="B32" s="2" t="inlineStr">
        <is>
          <t>Available for all invoices</t>
        </is>
      </c>
    </row>
    <row r="33">
      <c r="A33" s="2" t="inlineStr"/>
    </row>
    <row r="34">
      <c r="A34" s="2" t="inlineStr">
        <is>
          <t>Missing Data:</t>
        </is>
      </c>
    </row>
    <row r="35">
      <c r="A35" s="11" t="inlineStr">
        <is>
          <t>✗ Unit count</t>
        </is>
      </c>
      <c r="B35" s="2" t="inlineStr">
        <is>
          <t>Not in Excel files; contract is image-based PDF</t>
        </is>
      </c>
    </row>
    <row r="36">
      <c r="A36" s="11" t="inlineStr">
        <is>
          <t>✗ Service specifications</t>
        </is>
      </c>
      <c r="B36" s="2" t="inlineStr">
        <is>
          <t>Container types, sizes, frequencies not documented</t>
        </is>
      </c>
    </row>
    <row r="37">
      <c r="A37" s="11" t="inlineStr">
        <is>
          <t>✗ Tonnage/volume data</t>
        </is>
      </c>
      <c r="B37" s="2" t="inlineStr">
        <is>
          <t>No weight or volume measurements in invoices</t>
        </is>
      </c>
    </row>
    <row r="38">
      <c r="A38" s="11" t="inlineStr">
        <is>
          <t>✗ Contamination charges</t>
        </is>
      </c>
      <c r="B38" s="2" t="inlineStr">
        <is>
          <t>No separate line items for contamination</t>
        </is>
      </c>
    </row>
    <row r="39">
      <c r="A39" s="11" t="inlineStr">
        <is>
          <t>✗ Haul counts</t>
        </is>
      </c>
      <c r="B39" s="2" t="inlineStr">
        <is>
          <t>No pickup frequency data in invoices</t>
        </is>
      </c>
    </row>
    <row r="40">
      <c r="A40" s="2" t="inlineStr"/>
    </row>
    <row r="41">
      <c r="A41" s="3" t="inlineStr">
        <is>
          <t>IMPACT OF MISSING DATA</t>
        </is>
      </c>
    </row>
    <row r="42">
      <c r="A42" s="2" t="inlineStr"/>
    </row>
    <row r="43">
      <c r="A43" s="2" t="inlineStr">
        <is>
          <t>Cannot Calculate:</t>
        </is>
      </c>
    </row>
    <row r="44">
      <c r="A44" s="2" t="inlineStr">
        <is>
          <t>- Cost per door (requires unit count)</t>
        </is>
      </c>
    </row>
    <row r="45">
      <c r="A45" s="2" t="inlineStr">
        <is>
          <t>- Yards per door (requires unit count + service specs + tonnage/volume)</t>
        </is>
      </c>
    </row>
    <row r="46">
      <c r="A46" s="2" t="inlineStr">
        <is>
          <t>- Capacity utilization (requires tonnage + haul counts)</t>
        </is>
      </c>
    </row>
    <row r="47">
      <c r="A47" s="2" t="inlineStr">
        <is>
          <t>- Days between pickups (requires haul dates/counts)</t>
        </is>
      </c>
    </row>
    <row r="48">
      <c r="A48" s="2" t="inlineStr"/>
    </row>
    <row r="49">
      <c r="A49" s="2" t="inlineStr">
        <is>
          <t>Cannot Perform:</t>
        </is>
      </c>
    </row>
    <row r="50">
      <c r="A50" s="2" t="inlineStr">
        <is>
          <t>- Benchmark comparison (requires yards/door and cost/door)</t>
        </is>
      </c>
    </row>
    <row r="51">
      <c r="A51" s="2" t="inlineStr">
        <is>
          <t>- Compactor optimization analysis (requires tonnage + haul data)</t>
        </is>
      </c>
    </row>
    <row r="52">
      <c r="A52" s="2" t="inlineStr">
        <is>
          <t>- Contamination reduction analysis (requires contamination charges)</t>
        </is>
      </c>
    </row>
    <row r="53">
      <c r="A53" s="2" t="inlineStr">
        <is>
          <t>- Service right-sizing recommendations (requires utilization metrics)</t>
        </is>
      </c>
    </row>
    <row r="54">
      <c r="A54" s="2" t="inlineStr"/>
    </row>
    <row r="55">
      <c r="A55" s="2" t="inlineStr">
        <is>
          <t>Can Still Provide:</t>
        </is>
      </c>
    </row>
    <row r="56">
      <c r="A56" s="15" t="inlineStr">
        <is>
          <t>✓ Monthly expense tracking and trends</t>
        </is>
      </c>
    </row>
    <row r="57">
      <c r="A57" s="15" t="inlineStr">
        <is>
          <t>✓ Vendor spend breakdown</t>
        </is>
      </c>
    </row>
    <row r="58">
      <c r="A58" s="15" t="inlineStr">
        <is>
          <t>✓ Invoice count analysis</t>
        </is>
      </c>
    </row>
    <row r="59">
      <c r="A59" s="15" t="inlineStr">
        <is>
          <t>✓ Data quality assessment</t>
        </is>
      </c>
    </row>
    <row r="60">
      <c r="A60" s="12" t="inlineStr">
        <is>
          <t>⚠️ Limited bulk subscription analysis (based on Ally Waste spend only)</t>
        </is>
      </c>
    </row>
    <row r="61">
      <c r="A61" s="2" t="inlineStr"/>
    </row>
    <row r="62">
      <c r="A62" s="3" t="inlineStr">
        <is>
          <t>CALCULATION REFERENCES</t>
        </is>
      </c>
    </row>
    <row r="63">
      <c r="A63" s="2" t="inlineStr"/>
    </row>
    <row r="64">
      <c r="A64" s="2" t="inlineStr">
        <is>
          <t>Core Formulas (from WasteWise_Calculations_Reference.md):</t>
        </is>
      </c>
    </row>
    <row r="65">
      <c r="A65" s="2" t="inlineStr"/>
    </row>
    <row r="66">
      <c r="A66" s="2" t="inlineStr">
        <is>
          <t>1. Yards Per Door (Compactor):</t>
        </is>
      </c>
    </row>
    <row r="67">
      <c r="A67" s="2" t="inlineStr">
        <is>
          <t xml:space="preserve">   Yards Per Door = (Total Monthly Tons × 14.49) / Units</t>
        </is>
      </c>
    </row>
    <row r="68">
      <c r="A68" s="2" t="inlineStr">
        <is>
          <t xml:space="preserve">   The 14.49 factor converts tons to loose cubic yards</t>
        </is>
      </c>
    </row>
    <row r="69">
      <c r="A69" s="2" t="inlineStr">
        <is>
          <t xml:space="preserve">   This normalizes compactor tonnage for comparison with dumpster properties</t>
        </is>
      </c>
    </row>
    <row r="70">
      <c r="A70" s="2" t="inlineStr"/>
    </row>
    <row r="71">
      <c r="A71" s="2" t="inlineStr">
        <is>
          <t>2. Yards Per Door (Dumpster):</t>
        </is>
      </c>
    </row>
    <row r="72">
      <c r="A72" s="2" t="inlineStr">
        <is>
          <t xml:space="preserve">   Yards Per Door = (Qty × Size × Frequency × 4.33) / Units</t>
        </is>
      </c>
    </row>
    <row r="73">
      <c r="A73" s="2" t="inlineStr">
        <is>
          <t xml:space="preserve">   The 4.33 multiplier converts weekly service to monthly</t>
        </is>
      </c>
    </row>
    <row r="74">
      <c r="A74" s="2" t="inlineStr">
        <is>
          <t xml:space="preserve">   (52 weeks/year ÷ 12 months = 4.33 weeks/month)</t>
        </is>
      </c>
    </row>
    <row r="75">
      <c r="A75" s="2" t="inlineStr"/>
    </row>
    <row r="76">
      <c r="A76" s="2" t="inlineStr">
        <is>
          <t>3. Cost Per Door:</t>
        </is>
      </c>
    </row>
    <row r="77">
      <c r="A77" s="2" t="inlineStr">
        <is>
          <t xml:space="preserve">   Cost Per Door = Total Monthly Cost / Units</t>
        </is>
      </c>
    </row>
    <row r="78">
      <c r="A78" s="2" t="inlineStr">
        <is>
          <t xml:space="preserve">   Simple per-unit cost calculation</t>
        </is>
      </c>
    </row>
    <row r="79">
      <c r="A79" s="2" t="inlineStr"/>
    </row>
    <row r="80">
      <c r="A80" s="2" t="inlineStr">
        <is>
          <t>4. Benchmarks (Monthly):</t>
        </is>
      </c>
    </row>
    <row r="81">
      <c r="A81" s="2" t="inlineStr">
        <is>
          <t xml:space="preserve">   Garden-Style: 2.0-2.5 yards/door/month</t>
        </is>
      </c>
    </row>
    <row r="82">
      <c r="A82" s="2" t="inlineStr">
        <is>
          <t xml:space="preserve">   Mid-Rise: 1.5-2.0 yards/door/month</t>
        </is>
      </c>
    </row>
    <row r="83">
      <c r="A83" s="2" t="inlineStr">
        <is>
          <t xml:space="preserve">   Hi-Rise: 1.0-1.5 yards/door/month</t>
        </is>
      </c>
    </row>
    <row r="84">
      <c r="A84" s="2" t="inlineStr"/>
    </row>
    <row r="85">
      <c r="A85" s="3" t="inlineStr">
        <is>
          <t>CONFIDENCE LEVELS</t>
        </is>
      </c>
    </row>
    <row r="86">
      <c r="A86" s="2" t="inlineStr"/>
    </row>
    <row r="87">
      <c r="A87" s="2" t="inlineStr">
        <is>
          <t>High Confidence:</t>
        </is>
      </c>
    </row>
    <row r="88">
      <c r="A88" s="2" t="inlineStr">
        <is>
          <t>- Invoice amounts (extracted from authoritative source files)</t>
        </is>
      </c>
    </row>
    <row r="89">
      <c r="A89" s="2" t="inlineStr">
        <is>
          <t>- Monthly expense totals (calculated via Excel formulas)</t>
        </is>
      </c>
    </row>
    <row r="90">
      <c r="A90" s="2" t="inlineStr">
        <is>
          <t>- Vendor breakdown (clearly documented in source data)</t>
        </is>
      </c>
    </row>
    <row r="91">
      <c r="A91" s="2" t="inlineStr">
        <is>
          <t>- Date ranges (validated against invoice dates)</t>
        </is>
      </c>
    </row>
    <row r="92">
      <c r="A92" s="2" t="inlineStr"/>
    </row>
    <row r="93">
      <c r="A93" s="2" t="inlineStr">
        <is>
          <t>Medium Confidence:</t>
        </is>
      </c>
    </row>
    <row r="94">
      <c r="A94" s="2" t="inlineStr">
        <is>
          <t>- Bulk subscription status (inferred from Ally Waste presence)</t>
        </is>
      </c>
    </row>
    <row r="95">
      <c r="A95" s="2" t="inlineStr"/>
    </row>
    <row r="96">
      <c r="A96" s="2" t="inlineStr">
        <is>
          <t>Low Confidence / Unknown:</t>
        </is>
      </c>
    </row>
    <row r="97">
      <c r="A97" s="2" t="inlineStr">
        <is>
          <t>- Unit count (not available)</t>
        </is>
      </c>
    </row>
    <row r="98">
      <c r="A98" s="2" t="inlineStr">
        <is>
          <t>- Service specifications (contract not extractable)</t>
        </is>
      </c>
    </row>
    <row r="99">
      <c r="A99" s="2" t="inlineStr">
        <is>
          <t>- Optimization opportunities (insufficient data)</t>
        </is>
      </c>
    </row>
    <row r="100">
      <c r="A100" s="2" t="inlineStr">
        <is>
          <t>- Benchmark compliance (cannot calculate without unit count)</t>
        </is>
      </c>
    </row>
    <row r="101">
      <c r="A101" s="2" t="inlineStr"/>
    </row>
    <row r="102">
      <c r="A102" s="3" t="inlineStr">
        <is>
          <t>DATA COLLECTION RECOMMENDATIONS</t>
        </is>
      </c>
    </row>
    <row r="103">
      <c r="A103" s="2" t="inlineStr"/>
    </row>
    <row r="104">
      <c r="A104" s="2" t="inlineStr">
        <is>
          <t>Priority 1 (Critical):</t>
        </is>
      </c>
    </row>
    <row r="105">
      <c r="A105" s="2" t="inlineStr">
        <is>
          <t>1. Extract unit count from WCI Bulk Agreement</t>
        </is>
      </c>
    </row>
    <row r="106">
      <c r="A106" s="2" t="inlineStr">
        <is>
          <t xml:space="preserve">   - Manual review of PDF pages</t>
        </is>
      </c>
    </row>
    <row r="107">
      <c r="A107" s="2" t="inlineStr">
        <is>
          <t xml:space="preserve">   - OR contact property management for unit count</t>
        </is>
      </c>
    </row>
    <row r="108">
      <c r="A108" s="2" t="inlineStr">
        <is>
          <t xml:space="preserve">   - Required for: Cost/door, yards/door calculations</t>
        </is>
      </c>
    </row>
    <row r="109">
      <c r="A109" s="2" t="inlineStr"/>
    </row>
    <row r="110">
      <c r="A110" s="2" t="inlineStr">
        <is>
          <t>Priority 2 (High):</t>
        </is>
      </c>
    </row>
    <row r="111">
      <c r="A111" s="2" t="inlineStr">
        <is>
          <t>2. Document service specifications</t>
        </is>
      </c>
    </row>
    <row r="112">
      <c r="A112" s="2" t="inlineStr">
        <is>
          <t xml:space="preserve">   - Container types (compactor vs dumpster)</t>
        </is>
      </c>
    </row>
    <row r="113">
      <c r="A113" s="2" t="inlineStr">
        <is>
          <t xml:space="preserve">   - Container sizes (cubic yards)</t>
        </is>
      </c>
    </row>
    <row r="114">
      <c r="A114" s="2" t="inlineStr">
        <is>
          <t xml:space="preserve">   - Pickup frequencies (times per week/month)</t>
        </is>
      </c>
    </row>
    <row r="115">
      <c r="A115" s="2" t="inlineStr">
        <is>
          <t xml:space="preserve">   - Required for: Yards/door calculation, utilization analysis</t>
        </is>
      </c>
    </row>
    <row r="116">
      <c r="A116" s="2" t="inlineStr"/>
    </row>
    <row r="117">
      <c r="A117" s="2" t="inlineStr">
        <is>
          <t>Priority 3 (Medium):</t>
        </is>
      </c>
    </row>
    <row r="118">
      <c r="A118" s="2" t="inlineStr">
        <is>
          <t>3. Obtain tonnage/volume data</t>
        </is>
      </c>
    </row>
    <row r="119">
      <c r="A119" s="2" t="inlineStr">
        <is>
          <t xml:space="preserve">   - Request from waste haulers if not on invoices</t>
        </is>
      </c>
    </row>
    <row r="120">
      <c r="A120" s="2" t="inlineStr">
        <is>
          <t xml:space="preserve">   - Monthly tonnage reports (if compactor service)</t>
        </is>
      </c>
    </row>
    <row r="121">
      <c r="A121" s="2" t="inlineStr">
        <is>
          <t xml:space="preserve">   - Haul counts and weights</t>
        </is>
      </c>
    </row>
    <row r="122">
      <c r="A122" s="2" t="inlineStr">
        <is>
          <t xml:space="preserve">   - Required for: Compactor optimization analysis</t>
        </is>
      </c>
    </row>
    <row r="123">
      <c r="A123" s="2" t="inlineStr"/>
    </row>
    <row r="124">
      <c r="A124" s="2" t="inlineStr">
        <is>
          <t>Priority 4 (Low):</t>
        </is>
      </c>
    </row>
    <row r="125">
      <c r="A125" s="2" t="inlineStr">
        <is>
          <t>4. Identify contamination charges</t>
        </is>
      </c>
    </row>
    <row r="126">
      <c r="A126" s="2" t="inlineStr">
        <is>
          <t xml:space="preserve">   - Review invoices for overage/contamination line items</t>
        </is>
      </c>
    </row>
    <row r="127">
      <c r="A127" s="2" t="inlineStr">
        <is>
          <t xml:space="preserve">   - May be included in 'extra charges' or 'fees'</t>
        </is>
      </c>
    </row>
    <row r="128">
      <c r="A128" s="2" t="inlineStr">
        <is>
          <t xml:space="preserve">   - Required for: Contamination reduction opportunities</t>
        </is>
      </c>
    </row>
    <row r="129">
      <c r="A129" s="2" t="inlineStr"/>
    </row>
    <row r="130">
      <c r="A130" s="3" t="inlineStr">
        <is>
          <t>VALIDATION STATUS</t>
        </is>
      </c>
    </row>
    <row r="131">
      <c r="A131" s="2" t="inlineStr"/>
    </row>
    <row r="132">
      <c r="A132" s="2" t="inlineStr">
        <is>
          <t>Passed Checks:</t>
        </is>
      </c>
    </row>
    <row r="133">
      <c r="A133" s="15" t="inlineStr">
        <is>
          <t>✓ Invoice data completeness (all amounts present)</t>
        </is>
      </c>
    </row>
    <row r="134">
      <c r="A134" s="15" t="inlineStr">
        <is>
          <t>✓ Formula accuracy (all calculations use Excel formulas)</t>
        </is>
      </c>
    </row>
    <row r="135">
      <c r="A135" s="15" t="inlineStr">
        <is>
          <t>✓ Sheet structure (all 6 required sheets present)</t>
        </is>
      </c>
    </row>
    <row r="136">
      <c r="A136" s="15" t="inlineStr">
        <is>
          <t>✓ Cross-validation (no data contamination from other properties)</t>
        </is>
      </c>
    </row>
    <row r="137">
      <c r="A137" s="2" t="inlineStr"/>
    </row>
    <row r="138">
      <c r="A138" s="2" t="inlineStr">
        <is>
          <t>Failed Checks:</t>
        </is>
      </c>
    </row>
    <row r="139">
      <c r="A139" s="11" t="inlineStr">
        <is>
          <t>✗ Unit count availability</t>
        </is>
      </c>
    </row>
    <row r="140">
      <c r="A140" s="11" t="inlineStr">
        <is>
          <t>✗ Service specifications availability</t>
        </is>
      </c>
    </row>
    <row r="141">
      <c r="A141" s="11" t="inlineStr">
        <is>
          <t>✗ Optimization criteria evaluation (insufficient data)</t>
        </is>
      </c>
    </row>
    <row r="142">
      <c r="A142" s="2" t="inlineStr"/>
    </row>
    <row r="143">
      <c r="A143" s="2" t="inlineStr">
        <is>
          <t>Partial/Skipped:</t>
        </is>
      </c>
    </row>
    <row r="144">
      <c r="A144" s="12" t="inlineStr">
        <is>
          <t>⚠️ Contract extraction (file found but is image-based)</t>
        </is>
      </c>
    </row>
    <row r="145">
      <c r="A145" s="14" t="inlineStr">
        <is>
          <t>⊘ Yards/door calculation (skipped - missing unit count)</t>
        </is>
      </c>
    </row>
    <row r="146">
      <c r="A146" s="14" t="inlineStr">
        <is>
          <t>⊘ Cost/door calculation (skipped - missing unit count)</t>
        </is>
      </c>
    </row>
    <row r="147">
      <c r="A147" s="14" t="inlineStr">
        <is>
          <t>⊘ Optimization analysis (skipped - missing required data)</t>
        </is>
      </c>
    </row>
    <row r="148">
      <c r="A148" s="2" t="inlineStr"/>
    </row>
    <row r="149">
      <c r="A149" s="3" t="inlineStr">
        <is>
          <t>OVERALL ASSESSMENT</t>
        </is>
      </c>
    </row>
    <row r="150">
      <c r="A150" s="2" t="inlineStr"/>
    </row>
    <row r="151">
      <c r="A151" s="2" t="inlineStr">
        <is>
          <t>Strengths:</t>
        </is>
      </c>
    </row>
    <row r="152">
      <c r="A152" s="15" t="inlineStr">
        <is>
          <t>✓ Complete invoice data with accurate amounts</t>
        </is>
      </c>
    </row>
    <row r="153">
      <c r="A153" s="15" t="inlineStr">
        <is>
          <t>✓ Clean data extraction from source files</t>
        </is>
      </c>
    </row>
    <row r="154">
      <c r="A154" s="15" t="inlineStr">
        <is>
          <t>✓ Proper formula-based calculations</t>
        </is>
      </c>
    </row>
    <row r="155">
      <c r="A155" s="15" t="inlineStr">
        <is>
          <t>✓ No cross-contamination from other properties</t>
        </is>
      </c>
    </row>
    <row r="156">
      <c r="A156" s="15" t="inlineStr">
        <is>
          <t>✓ Clear documentation of limitations</t>
        </is>
      </c>
    </row>
    <row r="157">
      <c r="A157" s="2" t="inlineStr"/>
    </row>
    <row r="158">
      <c r="A158" s="2" t="inlineStr">
        <is>
          <t>Weaknesses:</t>
        </is>
      </c>
    </row>
    <row r="159">
      <c r="A159" s="11" t="inlineStr">
        <is>
          <t>✗ Missing critical property information (unit count)</t>
        </is>
      </c>
    </row>
    <row r="160">
      <c r="A160" s="11" t="inlineStr">
        <is>
          <t>✗ No service utilization data (tonnage, haul counts)</t>
        </is>
      </c>
    </row>
    <row r="161">
      <c r="A161" s="11" t="inlineStr">
        <is>
          <t>✗ Cannot perform optimization analysis</t>
        </is>
      </c>
    </row>
    <row r="162">
      <c r="A162" s="11" t="inlineStr">
        <is>
          <t>✗ Cannot calculate performance benchmarks</t>
        </is>
      </c>
    </row>
    <row r="163">
      <c r="A163" s="2" t="inlineStr"/>
    </row>
    <row r="164">
      <c r="A164" s="2" t="inlineStr">
        <is>
          <t>Recommendation:</t>
        </is>
      </c>
    </row>
    <row r="165">
      <c r="A165" s="2" t="inlineStr">
        <is>
          <t>Obtain unit count and service specifications to enable:</t>
        </is>
      </c>
    </row>
    <row r="166">
      <c r="A166" s="2" t="inlineStr">
        <is>
          <t>- Complete cost and service efficiency analysis</t>
        </is>
      </c>
    </row>
    <row r="167">
      <c r="A167" s="2" t="inlineStr">
        <is>
          <t>- Benchmark comparisons against property type standards</t>
        </is>
      </c>
    </row>
    <row r="168">
      <c r="A168" s="2" t="inlineStr">
        <is>
          <t>- Identification of optimization opportunities</t>
        </is>
      </c>
    </row>
    <row r="169">
      <c r="A169" s="2" t="inlineStr">
        <is>
          <t>- Data-driven recommendations for cost reduction</t>
        </is>
      </c>
    </row>
    <row r="170">
      <c r="A170" s="2" t="inlineStr"/>
    </row>
    <row r="171">
      <c r="A171" s="2" t="inlineStr">
        <is>
          <t>Document Version</t>
        </is>
      </c>
      <c r="B171" s="2" t="inlineStr">
        <is>
          <t>1.0</t>
        </is>
      </c>
    </row>
    <row r="172">
      <c r="A172" s="2" t="inlineStr">
        <is>
          <t>Analysis Date</t>
        </is>
      </c>
      <c r="B172" s="2" t="inlineStr">
        <is>
          <t>2025-11-03</t>
        </is>
      </c>
    </row>
    <row r="173">
      <c r="A173" s="2" t="inlineStr">
        <is>
          <t>Analyst</t>
        </is>
      </c>
      <c r="B173" s="2" t="inlineStr">
        <is>
          <t>WasteWise Analytics - Validated Edition</t>
        </is>
      </c>
    </row>
    <row r="174">
      <c r="A174" s="2" t="inlineStr">
        <is>
          <t>Calculation Reference</t>
        </is>
      </c>
      <c r="B174" s="2" t="inlineStr">
        <is>
          <t>WasteWise_Calculations_Reference.md v2.0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CONTRACT TERMS - Pavilions at Arrowhead</t>
        </is>
      </c>
    </row>
    <row r="2">
      <c r="A2" s="2" t="inlineStr"/>
    </row>
    <row r="3">
      <c r="A3" s="3" t="inlineStr">
        <is>
          <t>CONTRACT FILE INFORMATION</t>
        </is>
      </c>
    </row>
    <row r="4">
      <c r="A4" s="2" t="inlineStr">
        <is>
          <t>File Name</t>
        </is>
      </c>
      <c r="B4" s="2" t="inlineStr">
        <is>
          <t>Pavilions at Arrowhead - Waste Consolidators Inc Bulk Agreement.pdf</t>
        </is>
      </c>
    </row>
    <row r="5">
      <c r="A5" s="2" t="inlineStr">
        <is>
          <t>File Size</t>
        </is>
      </c>
      <c r="B5" s="2" t="inlineStr">
        <is>
          <t>1.2 MB</t>
        </is>
      </c>
    </row>
    <row r="6">
      <c r="A6" s="2" t="inlineStr">
        <is>
          <t>Location</t>
        </is>
      </c>
      <c r="B6" s="2" t="inlineStr">
        <is>
          <t>C:\Users\Richard\Downloads\Orion Data Part 2\Pavilions at Arrowhead - Waste Consolidators Inc Bulk Agreement.pdf</t>
        </is>
      </c>
    </row>
    <row r="7">
      <c r="A7" s="2" t="inlineStr">
        <is>
          <t>Status</t>
        </is>
      </c>
      <c r="B7" s="11" t="inlineStr">
        <is>
          <t>✗ IMAGE-BASED PDF - Cannot extract text</t>
        </is>
      </c>
    </row>
    <row r="8">
      <c r="A8" s="2" t="inlineStr"/>
    </row>
    <row r="9">
      <c r="A9" s="3" t="inlineStr">
        <is>
          <t>EXTRACTION ISSUES</t>
        </is>
      </c>
    </row>
    <row r="10">
      <c r="A10" s="2" t="inlineStr">
        <is>
          <t>Issue</t>
        </is>
      </c>
      <c r="B10" s="2" t="inlineStr">
        <is>
          <t>Contract is a scanned image-based PDF</t>
        </is>
      </c>
    </row>
    <row r="11">
      <c r="A11" s="2" t="inlineStr">
        <is>
          <t>Impact</t>
        </is>
      </c>
      <c r="B11" s="2" t="inlineStr">
        <is>
          <t>Cannot automatically extract contract terms</t>
        </is>
      </c>
    </row>
    <row r="12">
      <c r="A12" s="2" t="inlineStr">
        <is>
          <t>Required Action</t>
        </is>
      </c>
      <c r="B12" s="2" t="inlineStr">
        <is>
          <t>Manual review or OCR processing required</t>
        </is>
      </c>
    </row>
    <row r="13">
      <c r="A13" s="2" t="inlineStr"/>
    </row>
    <row r="14">
      <c r="A14" s="3" t="inlineStr">
        <is>
          <t>CRITICAL INFORMATION NEEDED FROM CONTRACT:</t>
        </is>
      </c>
    </row>
    <row r="15">
      <c r="A15" s="2" t="inlineStr"/>
    </row>
    <row r="16">
      <c r="A16" s="2" t="inlineStr">
        <is>
          <t>1. Property Details</t>
        </is>
      </c>
    </row>
    <row r="17">
      <c r="A17" s="16" t="inlineStr">
        <is>
          <t>☐ Unit Count</t>
        </is>
      </c>
      <c r="B17" s="4" t="inlineStr">
        <is>
          <t>CRITICAL - Required for all per-door calculations</t>
        </is>
      </c>
    </row>
    <row r="18">
      <c r="A18" s="16" t="inlineStr">
        <is>
          <t>☐ Property Address</t>
        </is>
      </c>
      <c r="B18" s="2" t="inlineStr">
        <is>
          <t>For verification</t>
        </is>
      </c>
    </row>
    <row r="19">
      <c r="A19" s="16" t="inlineStr">
        <is>
          <t>☐ Property Type</t>
        </is>
      </c>
      <c r="B19" s="2" t="inlineStr">
        <is>
          <t>Garden-Style / Mid-Rise / Hi-Rise</t>
        </is>
      </c>
    </row>
    <row r="20">
      <c r="A20" s="2" t="inlineStr"/>
    </row>
    <row r="21">
      <c r="A21" s="2" t="inlineStr">
        <is>
          <t>2. Service Specifications</t>
        </is>
      </c>
    </row>
    <row r="22">
      <c r="A22" s="16" t="inlineStr">
        <is>
          <t>☐ Container Type</t>
        </is>
      </c>
      <c r="B22" s="2" t="inlineStr">
        <is>
          <t>Compactor / Dumpster / Both</t>
        </is>
      </c>
    </row>
    <row r="23">
      <c r="A23" s="16" t="inlineStr">
        <is>
          <t>☐ Container Size(s)</t>
        </is>
      </c>
      <c r="B23" s="2" t="inlineStr">
        <is>
          <t>Cubic yards</t>
        </is>
      </c>
    </row>
    <row r="24">
      <c r="A24" s="16" t="inlineStr">
        <is>
          <t>☐ Number of Containers</t>
        </is>
      </c>
      <c r="B24" s="2" t="inlineStr">
        <is>
          <t>Quantity</t>
        </is>
      </c>
    </row>
    <row r="25">
      <c r="A25" s="16" t="inlineStr">
        <is>
          <t>☐ Pickup Frequency</t>
        </is>
      </c>
      <c r="B25" s="2" t="inlineStr">
        <is>
          <t>Times per week/month</t>
        </is>
      </c>
    </row>
    <row r="26">
      <c r="A26" s="2" t="inlineStr"/>
    </row>
    <row r="27">
      <c r="A27" s="2" t="inlineStr">
        <is>
          <t>3. Pricing Terms</t>
        </is>
      </c>
    </row>
    <row r="28">
      <c r="A28" s="16" t="inlineStr">
        <is>
          <t>☐ Monthly Base Rate</t>
        </is>
      </c>
      <c r="B28" s="2" t="inlineStr">
        <is>
          <t>Fixed service cost</t>
        </is>
      </c>
    </row>
    <row r="29">
      <c r="A29" s="16" t="inlineStr">
        <is>
          <t>☐ Per-Haul Charges</t>
        </is>
      </c>
      <c r="B29" s="2" t="inlineStr">
        <is>
          <t>If applicable</t>
        </is>
      </c>
    </row>
    <row r="30">
      <c r="A30" s="16" t="inlineStr">
        <is>
          <t>☐ Tonnage Rates</t>
        </is>
      </c>
      <c r="B30" s="2" t="inlineStr">
        <is>
          <t>If compactor service</t>
        </is>
      </c>
    </row>
    <row r="31">
      <c r="A31" s="16" t="inlineStr">
        <is>
          <t>☐ Additional Fees</t>
        </is>
      </c>
      <c r="B31" s="2" t="inlineStr">
        <is>
          <t>Fuel surcharges, environmental fees, etc.</t>
        </is>
      </c>
    </row>
    <row r="32">
      <c r="A32" s="2" t="inlineStr"/>
    </row>
    <row r="33">
      <c r="A33" s="2" t="inlineStr">
        <is>
          <t>4. Contract Terms</t>
        </is>
      </c>
    </row>
    <row r="34">
      <c r="A34" s="16" t="inlineStr">
        <is>
          <t>☐ Effective Date</t>
        </is>
      </c>
      <c r="B34" s="2" t="inlineStr">
        <is>
          <t>Contract start date</t>
        </is>
      </c>
    </row>
    <row r="35">
      <c r="A35" s="16" t="inlineStr">
        <is>
          <t>☐ Expiration Date</t>
        </is>
      </c>
      <c r="B35" s="2" t="inlineStr">
        <is>
          <t>Contract end date</t>
        </is>
      </c>
    </row>
    <row r="36">
      <c r="A36" s="16" t="inlineStr">
        <is>
          <t>☐ Term Length</t>
        </is>
      </c>
      <c r="B36" s="2" t="inlineStr">
        <is>
          <t>Duration (months/years)</t>
        </is>
      </c>
    </row>
    <row r="37">
      <c r="A37" s="16" t="inlineStr">
        <is>
          <t>☐ Auto-Renewal</t>
        </is>
      </c>
      <c r="B37" s="2" t="inlineStr">
        <is>
          <t>Yes/No and notice period</t>
        </is>
      </c>
    </row>
    <row r="38">
      <c r="A38" s="16" t="inlineStr">
        <is>
          <t>☐ Termination Notice</t>
        </is>
      </c>
      <c r="B38" s="2" t="inlineStr">
        <is>
          <t>Required notice period</t>
        </is>
      </c>
    </row>
    <row r="39">
      <c r="A39" s="16" t="inlineStr">
        <is>
          <t>☐ Rate Escalation</t>
        </is>
      </c>
      <c r="B39" s="2" t="inlineStr">
        <is>
          <t>Annual increase terms</t>
        </is>
      </c>
    </row>
    <row r="40">
      <c r="A40" s="2" t="inlineStr"/>
    </row>
    <row r="41">
      <c r="A41" s="2" t="inlineStr">
        <is>
          <t>5. Special Provisions</t>
        </is>
      </c>
    </row>
    <row r="42">
      <c r="A42" s="16" t="inlineStr">
        <is>
          <t>☐ Bulk Trash Service</t>
        </is>
      </c>
      <c r="B42" s="2" t="inlineStr">
        <is>
          <t>Included or separate</t>
        </is>
      </c>
    </row>
    <row r="43">
      <c r="A43" s="16" t="inlineStr">
        <is>
          <t>☐ Recycling Service</t>
        </is>
      </c>
      <c r="B43" s="2" t="inlineStr">
        <is>
          <t>If applicable</t>
        </is>
      </c>
    </row>
    <row r="44">
      <c r="A44" s="16" t="inlineStr">
        <is>
          <t>☐ Contamination Policy</t>
        </is>
      </c>
      <c r="B44" s="2" t="inlineStr">
        <is>
          <t>Fees and procedures</t>
        </is>
      </c>
    </row>
    <row r="45">
      <c r="A45" s="16" t="inlineStr">
        <is>
          <t>☐ Holiday Schedule</t>
        </is>
      </c>
      <c r="B45" s="2" t="inlineStr">
        <is>
          <t>Service adjustments</t>
        </is>
      </c>
    </row>
    <row r="46">
      <c r="A46" s="2" t="inlineStr"/>
    </row>
    <row r="47">
      <c r="A47" s="3" t="inlineStr">
        <is>
          <t>MANUAL EXTRACTION CHECKLIST</t>
        </is>
      </c>
    </row>
    <row r="48">
      <c r="A48" s="2" t="inlineStr"/>
    </row>
    <row r="49">
      <c r="A49" s="2" t="inlineStr">
        <is>
          <t>Step 1: Review Contract Pages</t>
        </is>
      </c>
    </row>
    <row r="50">
      <c r="A50" s="16" t="inlineStr">
        <is>
          <t>☐ Page 1</t>
        </is>
      </c>
      <c r="B50" s="2" t="inlineStr">
        <is>
          <t>Typically contains property details and parties</t>
        </is>
      </c>
    </row>
    <row r="51">
      <c r="A51" s="16" t="inlineStr">
        <is>
          <t>☐ Page 2</t>
        </is>
      </c>
      <c r="B51" s="2" t="inlineStr">
        <is>
          <t>Usually service specifications and rates</t>
        </is>
      </c>
    </row>
    <row r="52">
      <c r="A52" s="16" t="inlineStr">
        <is>
          <t>☐ Last Page</t>
        </is>
      </c>
      <c r="B52" s="2" t="inlineStr">
        <is>
          <t>Signature page with effective dates</t>
        </is>
      </c>
    </row>
    <row r="53">
      <c r="A53" s="2" t="inlineStr"/>
    </row>
    <row r="54">
      <c r="A54" s="2" t="inlineStr">
        <is>
          <t>Step 2: Extract Key Data Points</t>
        </is>
      </c>
    </row>
    <row r="55">
      <c r="A55" s="16" t="inlineStr">
        <is>
          <t>☐ Record unit count</t>
        </is>
      </c>
      <c r="B55" s="2" t="inlineStr">
        <is>
          <t>Most critical data point</t>
        </is>
      </c>
    </row>
    <row r="56">
      <c r="A56" s="16" t="inlineStr">
        <is>
          <t>☐ Document service type</t>
        </is>
      </c>
      <c r="B56" s="2" t="inlineStr">
        <is>
          <t>Compactor vs dumpster</t>
        </is>
      </c>
    </row>
    <row r="57">
      <c r="A57" s="16" t="inlineStr">
        <is>
          <t>☐ Note container sizes</t>
        </is>
      </c>
      <c r="B57" s="2" t="inlineStr">
        <is>
          <t>For yards/door calculation</t>
        </is>
      </c>
    </row>
    <row r="58">
      <c r="A58" s="16" t="inlineStr">
        <is>
          <t>☐ Identify frequency</t>
        </is>
      </c>
      <c r="B58" s="2" t="inlineStr">
        <is>
          <t>Pickups per week/month</t>
        </is>
      </c>
    </row>
    <row r="59">
      <c r="A59" s="2" t="inlineStr"/>
    </row>
    <row r="60">
      <c r="A60" s="2" t="inlineStr">
        <is>
          <t>Step 3: Validate Against Invoices</t>
        </is>
      </c>
    </row>
    <row r="61">
      <c r="A61" s="16" t="inlineStr">
        <is>
          <t>☐ Compare contract rates to invoice amounts</t>
        </is>
      </c>
    </row>
    <row r="62">
      <c r="A62" s="16" t="inlineStr">
        <is>
          <t>☐ Verify vendor name (WCI)</t>
        </is>
      </c>
    </row>
    <row r="63">
      <c r="A63" s="16" t="inlineStr">
        <is>
          <t>☐ Check for additional services not in contract</t>
        </is>
      </c>
    </row>
    <row r="64">
      <c r="A64" s="2" t="inlineStr"/>
    </row>
    <row r="65">
      <c r="A65" s="3" t="inlineStr">
        <is>
          <t>ALTERNATIVE DATA SOURCES</t>
        </is>
      </c>
    </row>
    <row r="66">
      <c r="A66" s="2" t="inlineStr"/>
    </row>
    <row r="67">
      <c r="A67" s="2" t="inlineStr">
        <is>
          <t>If Contract Unavailable or Unreadable:</t>
        </is>
      </c>
    </row>
    <row r="68">
      <c r="A68" s="2" t="inlineStr">
        <is>
          <t>1. Property Management</t>
        </is>
      </c>
      <c r="B68" s="2" t="inlineStr">
        <is>
          <t>Contact for unit count and service details</t>
        </is>
      </c>
    </row>
    <row r="69">
      <c r="A69" s="2" t="inlineStr">
        <is>
          <t>2. Vendor Contact</t>
        </is>
      </c>
      <c r="B69" s="2" t="inlineStr">
        <is>
          <t>WCI can provide service specifications</t>
        </is>
      </c>
    </row>
    <row r="70">
      <c r="A70" s="2" t="inlineStr">
        <is>
          <t>3. City of Glendale</t>
        </is>
      </c>
      <c r="B70" s="2" t="inlineStr">
        <is>
          <t>Municipal records may have property details</t>
        </is>
      </c>
    </row>
    <row r="71">
      <c r="A71" s="2" t="inlineStr">
        <is>
          <t>4. Previous Reports</t>
        </is>
      </c>
      <c r="B71" s="2" t="inlineStr">
        <is>
          <t>Check historical waste management reports</t>
        </is>
      </c>
    </row>
    <row r="72">
      <c r="A72" s="2" t="inlineStr"/>
    </row>
    <row r="73">
      <c r="A73" s="3" t="inlineStr">
        <is>
          <t>IMPACT ON ANALYSIS</t>
        </is>
      </c>
    </row>
    <row r="74">
      <c r="A74" s="2" t="inlineStr"/>
    </row>
    <row r="75">
      <c r="A75" s="2" t="inlineStr">
        <is>
          <t>Without Contract Data:</t>
        </is>
      </c>
    </row>
    <row r="76">
      <c r="A76" s="11" t="inlineStr">
        <is>
          <t>✗ Cannot calculate cost per door</t>
        </is>
      </c>
    </row>
    <row r="77">
      <c r="A77" s="11" t="inlineStr">
        <is>
          <t>✗ Cannot calculate yards per door</t>
        </is>
      </c>
    </row>
    <row r="78">
      <c r="A78" s="11" t="inlineStr">
        <is>
          <t>✗ Cannot perform benchmark comparison</t>
        </is>
      </c>
    </row>
    <row r="79">
      <c r="A79" s="11" t="inlineStr">
        <is>
          <t>✗ Cannot evaluate service right-sizing</t>
        </is>
      </c>
    </row>
    <row r="80">
      <c r="A80" s="11" t="inlineStr">
        <is>
          <t>✗ Cannot identify optimization opportunities</t>
        </is>
      </c>
    </row>
    <row r="81">
      <c r="A81" s="2" t="inlineStr"/>
    </row>
    <row r="82">
      <c r="A82" s="2" t="inlineStr">
        <is>
          <t>With Contract Data:</t>
        </is>
      </c>
    </row>
    <row r="83">
      <c r="A83" s="15" t="inlineStr">
        <is>
          <t>✓ Can calculate all performance metrics</t>
        </is>
      </c>
    </row>
    <row r="84">
      <c r="A84" s="15" t="inlineStr">
        <is>
          <t>✓ Can compare against industry benchmarks</t>
        </is>
      </c>
    </row>
    <row r="85">
      <c r="A85" s="15" t="inlineStr">
        <is>
          <t>✓ Can identify over/under-servicing</t>
        </is>
      </c>
    </row>
    <row r="86">
      <c r="A86" s="15" t="inlineStr">
        <is>
          <t>✓ Can provide data-driven recommendations</t>
        </is>
      </c>
    </row>
    <row r="87">
      <c r="A87" s="15" t="inlineStr">
        <is>
          <t>✓ Can estimate optimization savings</t>
        </is>
      </c>
    </row>
    <row r="88">
      <c r="A88" s="2" t="inlineStr"/>
    </row>
    <row r="89">
      <c r="A89" s="3" t="inlineStr">
        <is>
          <t>NEXT STEPS</t>
        </is>
      </c>
    </row>
    <row r="90">
      <c r="A90" s="2" t="inlineStr"/>
    </row>
    <row r="91">
      <c r="A91" s="2" t="inlineStr">
        <is>
          <t>Immediate Action Required:</t>
        </is>
      </c>
    </row>
    <row r="92">
      <c r="A92" s="2" t="inlineStr">
        <is>
          <t>1. Manually review WCI Bulk Agreement PDF</t>
        </is>
      </c>
    </row>
    <row r="93">
      <c r="A93" s="2" t="inlineStr">
        <is>
          <t>2. Extract unit count (highest priority)</t>
        </is>
      </c>
    </row>
    <row r="94">
      <c r="A94" s="2" t="inlineStr">
        <is>
          <t>3. Document service specifications</t>
        </is>
      </c>
    </row>
    <row r="95">
      <c r="A95" s="2" t="inlineStr">
        <is>
          <t>4. Update this analysis with extracted data</t>
        </is>
      </c>
    </row>
    <row r="96">
      <c r="A96" s="2" t="inlineStr"/>
    </row>
    <row r="97">
      <c r="A97" s="2" t="inlineStr">
        <is>
          <t>Once Data Available:</t>
        </is>
      </c>
    </row>
    <row r="98">
      <c r="A98" s="2" t="inlineStr">
        <is>
          <t>5. Re-run WasteWise Analytics with complete data</t>
        </is>
      </c>
    </row>
    <row r="99">
      <c r="A99" s="2" t="inlineStr">
        <is>
          <t>6. Calculate cost/door and yards/door</t>
        </is>
      </c>
    </row>
    <row r="100">
      <c r="A100" s="2" t="inlineStr">
        <is>
          <t>7. Perform benchmark comparison</t>
        </is>
      </c>
    </row>
    <row r="101">
      <c r="A101" s="2" t="inlineStr">
        <is>
          <t>8. Identify optimization opportunities</t>
        </is>
      </c>
    </row>
    <row r="102">
      <c r="A102" s="2" t="inlineStr">
        <is>
          <t>9. Generate recommendations</t>
        </is>
      </c>
    </row>
    <row r="103">
      <c r="A103" s="2" t="inlineStr"/>
    </row>
    <row r="104">
      <c r="A104" s="3" t="inlineStr">
        <is>
          <t>STATUS</t>
        </is>
      </c>
    </row>
    <row r="105">
      <c r="A105" s="2" t="inlineStr">
        <is>
          <t>Contract Review</t>
        </is>
      </c>
      <c r="B105" s="12" t="inlineStr">
        <is>
          <t>⚠️ PENDING - Manual extraction required</t>
        </is>
      </c>
    </row>
    <row r="106">
      <c r="A106" s="2" t="inlineStr">
        <is>
          <t>Unit Count</t>
        </is>
      </c>
      <c r="B106" s="11" t="inlineStr">
        <is>
          <t>✗ NOT AVAILABLE</t>
        </is>
      </c>
    </row>
    <row r="107">
      <c r="A107" s="2" t="inlineStr">
        <is>
          <t>Service Specs</t>
        </is>
      </c>
      <c r="B107" s="11" t="inlineStr">
        <is>
          <t>✗ NOT AVAILABLE</t>
        </is>
      </c>
    </row>
    <row r="108">
      <c r="A108" s="2" t="inlineStr">
        <is>
          <t>Analysis Completeness</t>
        </is>
      </c>
      <c r="B108" s="12" t="inlineStr">
        <is>
          <t>⚠️ PARTIAL - 40% complete (invoice data only)</t>
        </is>
      </c>
    </row>
    <row r="109">
      <c r="A109" s="2" t="inlineStr"/>
    </row>
    <row r="110">
      <c r="A110" s="3" t="inlineStr">
        <is>
          <t>NOTES</t>
        </is>
      </c>
    </row>
    <row r="111">
      <c r="A111" s="2" t="inlineStr">
        <is>
          <t>- Contract file confirmed to exist at specified location</t>
        </is>
      </c>
    </row>
    <row r="112">
      <c r="A112" s="2" t="inlineStr">
        <is>
          <t>- File is image-based PDF requiring manual review or OCR</t>
        </is>
      </c>
    </row>
    <row r="113">
      <c r="A113" s="2" t="inlineStr">
        <is>
          <t>- Invoice data (Ally Waste + City of Glendale) is complete and accurate</t>
        </is>
      </c>
    </row>
    <row r="114">
      <c r="A114" s="2" t="inlineStr">
        <is>
          <t>- Analysis can be significantly enhanced with contract data extraction</t>
        </is>
      </c>
    </row>
    <row r="115">
      <c r="A115" s="2" t="inlineStr">
        <is>
          <t>- Recommend prioritizing unit count extraction above all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2025-11-03T21:20:12Z</dcterms:created>
  <dcterms:modified xmlns:dcterms="http://purl.org/dc/terms/" xmlns:xsi="http://www.w3.org/2001/XMLSchema-instance" xsi:type="dcterms:W3CDTF">2025-11-03T21:20:12Z</dcterms:modified>
</cp:coreProperties>
</file>