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Expense Detail" sheetId="2" state="visible" r:id="rId2"/>
    <sheet xmlns:r="http://schemas.openxmlformats.org/officeDocument/2006/relationships" name="Budget Projection" sheetId="3" state="visible" r:id="rId3"/>
    <sheet xmlns:r="http://schemas.openxmlformats.org/officeDocument/2006/relationships" name="Service Details" sheetId="4" state="visible" r:id="rId4"/>
    <sheet xmlns:r="http://schemas.openxmlformats.org/officeDocument/2006/relationships" name="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  <sz val="14"/>
    </font>
    <font>
      <b val="1"/>
    </font>
    <font>
      <color rgb="0000B050"/>
    </font>
    <font>
      <b val="1"/>
      <color rgb="00FFFFFF"/>
    </font>
    <font>
      <b val="1"/>
      <sz val="14"/>
    </font>
    <font>
      <b val="1"/>
      <sz val="12"/>
    </font>
    <font>
      <b val="1"/>
      <color rgb="0000B05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4" fontId="4" fillId="0" borderId="0" pivotButton="0" quotePrefix="0" xfId="0"/>
    <xf numFmtId="0" fontId="7" fillId="0" borderId="0" pivotButton="0" quotePrefix="0" xfId="0"/>
    <xf numFmtId="0" fontId="6" fillId="2" borderId="0" pivotButton="0" quotePrefix="0" xfId="0"/>
    <xf numFmtId="164" fontId="4" fillId="4" borderId="0" pivotButton="0" quotePrefix="0" xfId="0"/>
    <xf numFmtId="165" fontId="0" fillId="5" borderId="0" pivotButton="0" quotePrefix="0" xfId="0"/>
    <xf numFmtId="165" fontId="0" fillId="0" borderId="0" pivotButton="0" quotePrefix="0" xfId="0"/>
    <xf numFmtId="165" fontId="0" fillId="6" borderId="0" pivotButton="0" quotePrefix="0" xfId="0"/>
    <xf numFmtId="0" fontId="8" fillId="3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The Club at Millenia - Expense Analysis</t>
        </is>
      </c>
    </row>
    <row r="2">
      <c r="A2" s="2" t="inlineStr">
        <is>
          <t>Generated: November 13, 2025 at 07:28 AM</t>
        </is>
      </c>
    </row>
    <row r="4">
      <c r="A4" s="3" t="inlineStr">
        <is>
          <t>PROPERTY INFORMATION</t>
        </is>
      </c>
    </row>
    <row r="5">
      <c r="A5" s="4" t="inlineStr">
        <is>
          <t>Property Name:</t>
        </is>
      </c>
      <c r="B5" t="inlineStr">
        <is>
          <t>The Club at Millenia</t>
        </is>
      </c>
    </row>
    <row r="6">
      <c r="A6" s="4" t="inlineStr">
        <is>
          <t>Units:</t>
        </is>
      </c>
      <c r="B6" t="n">
        <v>560</v>
      </c>
    </row>
    <row r="7">
      <c r="A7" s="4" t="inlineStr">
        <is>
          <t>State:</t>
        </is>
      </c>
      <c r="B7" t="inlineStr">
        <is>
          <t>FL</t>
        </is>
      </c>
    </row>
    <row r="8">
      <c r="A8" s="4" t="inlineStr">
        <is>
          <t>Service Type:</t>
        </is>
      </c>
      <c r="B8" t="inlineStr">
        <is>
          <t>Compactor</t>
        </is>
      </c>
    </row>
    <row r="9">
      <c r="A9" s="4" t="inlineStr">
        <is>
          <t>Data Pattern:</t>
        </is>
      </c>
      <c r="B9" t="inlineStr">
        <is>
          <t>B</t>
        </is>
      </c>
    </row>
    <row r="11">
      <c r="A11" s="3" t="inlineStr">
        <is>
          <t>FINANCIAL SUMMARY</t>
        </is>
      </c>
    </row>
    <row r="12">
      <c r="A12" s="5" t="inlineStr">
        <is>
          <t>Metric</t>
        </is>
      </c>
      <c r="B12" s="5" t="inlineStr">
        <is>
          <t>Value</t>
        </is>
      </c>
      <c r="C12" s="5" t="inlineStr">
        <is>
          <t>Per Unit</t>
        </is>
      </c>
      <c r="D12" s="5" t="inlineStr">
        <is>
          <t>Notes</t>
        </is>
      </c>
    </row>
    <row r="13">
      <c r="A13" t="inlineStr">
        <is>
          <t>Total Spend</t>
        </is>
      </c>
      <c r="B13" t="inlineStr">
        <is>
          <t>$70,061.16</t>
        </is>
      </c>
      <c r="C13" t="inlineStr">
        <is>
          <t>$125.11</t>
        </is>
      </c>
      <c r="D13" t="inlineStr">
        <is>
          <t>6 months</t>
        </is>
      </c>
    </row>
    <row r="14">
      <c r="A14" t="inlineStr">
        <is>
          <t>Average Monthly</t>
        </is>
      </c>
      <c r="B14" t="inlineStr">
        <is>
          <t>$11,676.86</t>
        </is>
      </c>
      <c r="C14" t="inlineStr">
        <is>
          <t>$20.85</t>
        </is>
      </c>
      <c r="D14" t="inlineStr">
        <is>
          <t>Per unit per month</t>
        </is>
      </c>
    </row>
    <row r="15">
      <c r="A15" t="inlineStr">
        <is>
          <t>Highest Month</t>
        </is>
      </c>
      <c r="B15" t="inlineStr">
        <is>
          <t>$12,906.08</t>
        </is>
      </c>
      <c r="C15" t="inlineStr">
        <is>
          <t>$23.05</t>
        </is>
      </c>
      <c r="D15" t="inlineStr">
        <is>
          <t>2025-07</t>
        </is>
      </c>
    </row>
    <row r="16">
      <c r="A16" t="inlineStr">
        <is>
          <t>Lowest Month</t>
        </is>
      </c>
      <c r="B16" t="inlineStr">
        <is>
          <t>$10,830.71</t>
        </is>
      </c>
      <c r="C16" t="inlineStr">
        <is>
          <t>$19.34</t>
        </is>
      </c>
      <c r="D16" t="inlineStr">
        <is>
          <t>2025-06</t>
        </is>
      </c>
    </row>
    <row r="18">
      <c r="A18" s="3" t="inlineStr">
        <is>
          <t>ANOMALIES DETECTED</t>
        </is>
      </c>
    </row>
    <row r="19">
      <c r="A19" s="6" t="inlineStr">
        <is>
          <t>No anomalies detected</t>
        </is>
      </c>
    </row>
  </sheetData>
  <mergeCells count="5">
    <mergeCell ref="A4:B4"/>
    <mergeCell ref="A1:D1"/>
    <mergeCell ref="A18:D18"/>
    <mergeCell ref="A2:D2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7" t="inlineStr">
        <is>
          <t>Month</t>
        </is>
      </c>
      <c r="B1" s="7" t="inlineStr">
        <is>
          <t>Invoice Number(s)</t>
        </is>
      </c>
      <c r="C1" s="7" t="inlineStr">
        <is>
          <t>Invoice Date</t>
        </is>
      </c>
      <c r="D1" s="7" t="inlineStr">
        <is>
          <t>Vendor</t>
        </is>
      </c>
      <c r="E1" s="7" t="inlineStr">
        <is>
          <t>Amount</t>
        </is>
      </c>
      <c r="F1" s="7" t="inlineStr">
        <is>
          <t>Cost Per Door</t>
        </is>
      </c>
      <c r="G1" s="7" t="inlineStr">
        <is>
          <t>YTD Total</t>
        </is>
      </c>
      <c r="H1" s="7" t="inlineStr">
        <is>
          <t>YTD Avg CPD</t>
        </is>
      </c>
      <c r="I1" s="7" t="inlineStr">
        <is>
          <t>Notes/Flags</t>
        </is>
      </c>
    </row>
    <row r="2">
      <c r="A2" t="inlineStr">
        <is>
          <t>2025-04</t>
        </is>
      </c>
      <c r="B2" t="inlineStr">
        <is>
          <t>1549125W460</t>
        </is>
      </c>
      <c r="C2" t="inlineStr">
        <is>
          <t>2025-04-30</t>
        </is>
      </c>
      <c r="D2" t="inlineStr">
        <is>
          <t>Waste Connections of Florida</t>
        </is>
      </c>
      <c r="E2" s="8" t="n">
        <v>11426.5</v>
      </c>
      <c r="F2" s="8" t="n">
        <v>20.40446428571429</v>
      </c>
      <c r="G2" s="8" t="n">
        <v>11426.5</v>
      </c>
      <c r="H2" s="8" t="n">
        <v>11426.5</v>
      </c>
      <c r="I2" t="inlineStr"/>
    </row>
    <row r="3">
      <c r="A3" t="inlineStr">
        <is>
          <t>2025-05</t>
        </is>
      </c>
      <c r="B3" t="inlineStr">
        <is>
          <t>1553243W460</t>
        </is>
      </c>
      <c r="C3" t="inlineStr">
        <is>
          <t>2025-05-31</t>
        </is>
      </c>
      <c r="D3" t="inlineStr">
        <is>
          <t>Waste Connections of Florida</t>
        </is>
      </c>
      <c r="E3" s="8" t="n">
        <v>11333.68</v>
      </c>
      <c r="F3" s="8" t="n">
        <v>20.23871428571429</v>
      </c>
      <c r="G3" s="8" t="n">
        <v>22760.18</v>
      </c>
      <c r="H3" s="8" t="n">
        <v>11380.09</v>
      </c>
      <c r="I3" t="inlineStr"/>
    </row>
    <row r="4">
      <c r="A4" t="inlineStr">
        <is>
          <t>2025-06</t>
        </is>
      </c>
      <c r="B4" t="inlineStr">
        <is>
          <t>1557411W460</t>
        </is>
      </c>
      <c r="C4" t="inlineStr">
        <is>
          <t>2025-06-30</t>
        </is>
      </c>
      <c r="D4" t="inlineStr">
        <is>
          <t>Waste Connections of Florida</t>
        </is>
      </c>
      <c r="E4" s="8" t="n">
        <v>10830.71</v>
      </c>
      <c r="F4" s="8" t="n">
        <v>19.34055357142857</v>
      </c>
      <c r="G4" s="8" t="n">
        <v>33590.89</v>
      </c>
      <c r="H4" s="8" t="n">
        <v>11196.96333333333</v>
      </c>
      <c r="I4" t="inlineStr"/>
    </row>
    <row r="5">
      <c r="A5" t="inlineStr">
        <is>
          <t>2025-07</t>
        </is>
      </c>
      <c r="B5" t="inlineStr">
        <is>
          <t>1561532W460</t>
        </is>
      </c>
      <c r="C5" t="inlineStr">
        <is>
          <t>2025-07-31</t>
        </is>
      </c>
      <c r="D5" t="inlineStr">
        <is>
          <t>Waste Connections of Florida</t>
        </is>
      </c>
      <c r="E5" s="8" t="n">
        <v>12906.08</v>
      </c>
      <c r="F5" s="8" t="n">
        <v>23.04657142857143</v>
      </c>
      <c r="G5" s="8" t="n">
        <v>46496.97</v>
      </c>
      <c r="H5" s="8" t="n">
        <v>11624.2425</v>
      </c>
      <c r="I5" t="inlineStr"/>
    </row>
    <row r="6">
      <c r="A6" t="inlineStr">
        <is>
          <t>2025-08</t>
        </is>
      </c>
      <c r="B6" t="inlineStr">
        <is>
          <t>1565608W460</t>
        </is>
      </c>
      <c r="C6" t="inlineStr">
        <is>
          <t>2025-08-31</t>
        </is>
      </c>
      <c r="D6" t="inlineStr">
        <is>
          <t>Waste Connections of Florida</t>
        </is>
      </c>
      <c r="E6" s="8" t="n">
        <v>11880.45</v>
      </c>
      <c r="F6" s="8" t="n">
        <v>21.21508928571429</v>
      </c>
      <c r="G6" s="8" t="n">
        <v>58377.42</v>
      </c>
      <c r="H6" s="8" t="n">
        <v>11675.484</v>
      </c>
      <c r="I6" t="inlineStr"/>
    </row>
    <row r="7">
      <c r="A7" t="inlineStr">
        <is>
          <t>2025-09</t>
        </is>
      </c>
      <c r="B7" t="inlineStr">
        <is>
          <t>1569687W460</t>
        </is>
      </c>
      <c r="C7" t="inlineStr">
        <is>
          <t>2025-09-30</t>
        </is>
      </c>
      <c r="D7" t="inlineStr">
        <is>
          <t>Waste Connections of Florida</t>
        </is>
      </c>
      <c r="E7" s="8" t="n">
        <v>11683.74</v>
      </c>
      <c r="F7" s="8" t="n">
        <v>20.86382142857143</v>
      </c>
      <c r="G7" s="8" t="n">
        <v>70061.16</v>
      </c>
      <c r="H7" s="8" t="n">
        <v>11676.86</v>
      </c>
      <c r="I7" t="inlineStr"/>
    </row>
    <row r="8">
      <c r="D8" s="4" t="inlineStr">
        <is>
          <t>TOTAL:</t>
        </is>
      </c>
      <c r="E8" s="9">
        <f>SUM(E2:E7)</f>
        <v/>
      </c>
      <c r="F8" s="9">
        <f>AVERAGE(F2:F7)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0" t="inlineStr">
        <is>
          <t>The Club at Millenia - Budget Projection</t>
        </is>
      </c>
    </row>
    <row r="2">
      <c r="A2" s="2" t="inlineStr">
        <is>
          <t>Based on actual expense data for budget planning</t>
        </is>
      </c>
    </row>
    <row r="4">
      <c r="A4" s="11" t="inlineStr">
        <is>
          <t>HISTORICAL AVERAGES</t>
        </is>
      </c>
    </row>
    <row r="5">
      <c r="A5" s="4" t="inlineStr">
        <is>
          <t>Average Monthly Expense:</t>
        </is>
      </c>
      <c r="B5" s="8" t="n">
        <v>11676.86</v>
      </c>
    </row>
    <row r="6">
      <c r="A6" s="4" t="inlineStr">
        <is>
          <t>Average Cost Per Door:</t>
        </is>
      </c>
      <c r="B6" s="8" t="n">
        <v>20.85153571428571</v>
      </c>
    </row>
    <row r="7">
      <c r="A7" s="4" t="inlineStr">
        <is>
          <t>Data Period:</t>
        </is>
      </c>
      <c r="B7" t="inlineStr">
        <is>
          <t>6 months (2025-04 to 2025-09)</t>
        </is>
      </c>
    </row>
    <row r="9">
      <c r="A9" s="11" t="inlineStr">
        <is>
          <t>BUDGET PROJECTION (Next 12 Months)</t>
        </is>
      </c>
    </row>
    <row r="10">
      <c r="A10" s="5" t="inlineStr">
        <is>
          <t>Period</t>
        </is>
      </c>
      <c r="B10" s="5" t="inlineStr">
        <is>
          <t>Projected Monthly</t>
        </is>
      </c>
      <c r="C10" s="5" t="inlineStr">
        <is>
          <t>Cost Per Door</t>
        </is>
      </c>
      <c r="D10" s="5" t="inlineStr">
        <is>
          <t>Quarterly Total</t>
        </is>
      </c>
      <c r="E10" s="5" t="inlineStr">
        <is>
          <t>Annual Total</t>
        </is>
      </c>
      <c r="F10" s="5" t="inlineStr">
        <is>
          <t>Notes</t>
        </is>
      </c>
    </row>
    <row r="11">
      <c r="A11" t="inlineStr">
        <is>
          <t>Q1</t>
        </is>
      </c>
      <c r="B11" s="8" t="n">
        <v>11676.86</v>
      </c>
      <c r="C11" s="8" t="n">
        <v>20.85153571428571</v>
      </c>
      <c r="D11" s="8" t="n">
        <v>35030.58</v>
      </c>
      <c r="E11" s="8" t="n">
        <v>35030.58</v>
      </c>
      <c r="F11" t="inlineStr">
        <is>
          <t>Based on historical average</t>
        </is>
      </c>
    </row>
    <row r="12">
      <c r="A12" t="inlineStr">
        <is>
          <t>Q2</t>
        </is>
      </c>
      <c r="B12" s="8" t="n">
        <v>11676.86</v>
      </c>
      <c r="C12" s="8" t="n">
        <v>20.85153571428571</v>
      </c>
      <c r="D12" s="8" t="n">
        <v>35030.58</v>
      </c>
      <c r="E12" s="8" t="n">
        <v>70061.16</v>
      </c>
      <c r="F12" t="inlineStr">
        <is>
          <t>Based on historical average</t>
        </is>
      </c>
    </row>
    <row r="13">
      <c r="A13" t="inlineStr">
        <is>
          <t>Q3</t>
        </is>
      </c>
      <c r="B13" s="8" t="n">
        <v>11676.86</v>
      </c>
      <c r="C13" s="8" t="n">
        <v>20.85153571428571</v>
      </c>
      <c r="D13" s="8" t="n">
        <v>35030.58</v>
      </c>
      <c r="E13" s="8" t="n">
        <v>105091.74</v>
      </c>
      <c r="F13" t="inlineStr">
        <is>
          <t>Based on historical average</t>
        </is>
      </c>
    </row>
    <row r="14">
      <c r="A14" t="inlineStr">
        <is>
          <t>Q4</t>
        </is>
      </c>
      <c r="B14" s="8" t="n">
        <v>11676.86</v>
      </c>
      <c r="C14" s="8" t="n">
        <v>20.85153571428571</v>
      </c>
      <c r="D14" s="8" t="n">
        <v>35030.58</v>
      </c>
      <c r="E14" s="8" t="n">
        <v>140122.32</v>
      </c>
      <c r="F14" t="inlineStr">
        <is>
          <t>Based on historical average</t>
        </is>
      </c>
    </row>
    <row r="15">
      <c r="A15" s="4" t="inlineStr">
        <is>
          <t>ANNUAL TOTAL:</t>
        </is>
      </c>
      <c r="E15" s="12" t="n">
        <v>140122.32</v>
      </c>
    </row>
    <row r="17">
      <c r="A17" s="11" t="inlineStr">
        <is>
          <t>VARIANCE SCENARIOS</t>
        </is>
      </c>
    </row>
    <row r="18">
      <c r="A18" s="5" t="inlineStr">
        <is>
          <t>Scenario</t>
        </is>
      </c>
      <c r="B18" s="5" t="inlineStr">
        <is>
          <t>Monthly</t>
        </is>
      </c>
      <c r="C18" s="5" t="inlineStr">
        <is>
          <t>Annual</t>
        </is>
      </c>
      <c r="D18" s="5" t="inlineStr">
        <is>
          <t>Variance</t>
        </is>
      </c>
    </row>
    <row r="19">
      <c r="A19" t="inlineStr">
        <is>
          <t>Best Case (-10%)</t>
        </is>
      </c>
      <c r="B19" s="8" t="n">
        <v>10509.174</v>
      </c>
      <c r="C19" s="8" t="n">
        <v>126110.088</v>
      </c>
      <c r="D19" s="13" t="n">
        <v>-0.1</v>
      </c>
    </row>
    <row r="20">
      <c r="A20" t="inlineStr">
        <is>
          <t>Expected (Baseline)</t>
        </is>
      </c>
      <c r="B20" s="8" t="n">
        <v>11676.86</v>
      </c>
      <c r="C20" s="8" t="n">
        <v>140122.32</v>
      </c>
      <c r="D20" s="14" t="n">
        <v>0</v>
      </c>
    </row>
    <row r="21">
      <c r="A21" t="inlineStr">
        <is>
          <t>Conservative (+10%)</t>
        </is>
      </c>
      <c r="B21" s="8" t="n">
        <v>12844.546</v>
      </c>
      <c r="C21" s="8" t="n">
        <v>154134.552</v>
      </c>
      <c r="D21" s="14" t="n">
        <v>0.1</v>
      </c>
    </row>
    <row r="22">
      <c r="A22" t="inlineStr">
        <is>
          <t>Worst Case (+20%)</t>
        </is>
      </c>
      <c r="B22" s="8" t="n">
        <v>14012.232</v>
      </c>
      <c r="C22" s="8" t="n">
        <v>168146.784</v>
      </c>
      <c r="D22" s="15" t="n">
        <v>0.2</v>
      </c>
    </row>
  </sheetData>
  <mergeCells count="5">
    <mergeCell ref="A2:F2"/>
    <mergeCell ref="A1:F1"/>
    <mergeCell ref="A9:F9"/>
    <mergeCell ref="A17:F17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0" t="inlineStr">
        <is>
          <t>The Club at Millenia - Service Configuration</t>
        </is>
      </c>
    </row>
    <row r="3">
      <c r="A3" s="4" t="inlineStr">
        <is>
          <t>Property Name</t>
        </is>
      </c>
      <c r="B3" t="inlineStr">
        <is>
          <t>The Club at Millenia</t>
        </is>
      </c>
    </row>
    <row r="4">
      <c r="A4" s="4" t="inlineStr">
        <is>
          <t>Units</t>
        </is>
      </c>
      <c r="B4" t="n">
        <v>560</v>
      </c>
    </row>
    <row r="5">
      <c r="A5" s="4" t="inlineStr">
        <is>
          <t>State</t>
        </is>
      </c>
      <c r="B5" t="inlineStr">
        <is>
          <t>FL</t>
        </is>
      </c>
    </row>
    <row r="6">
      <c r="A6" s="4" t="inlineStr">
        <is>
          <t>City</t>
        </is>
      </c>
      <c r="B6" t="inlineStr">
        <is>
          <t>Orlando</t>
        </is>
      </c>
    </row>
    <row r="7">
      <c r="A7" s="4" t="inlineStr">
        <is>
          <t>Property Type</t>
        </is>
      </c>
      <c r="B7" t="inlineStr">
        <is>
          <t>Garden Style</t>
        </is>
      </c>
    </row>
    <row r="8">
      <c r="A8" s="4" t="inlineStr">
        <is>
          <t>Service Type</t>
        </is>
      </c>
      <c r="B8" t="inlineStr">
        <is>
          <t>Compactor</t>
        </is>
      </c>
    </row>
    <row r="10">
      <c r="A10" s="16" t="inlineStr">
        <is>
          <t>Data Configuration</t>
        </is>
      </c>
      <c r="B10" t="inlineStr"/>
    </row>
    <row r="11">
      <c r="A11" s="4" t="inlineStr">
        <is>
          <t>Data Pattern</t>
        </is>
      </c>
      <c r="B11" t="inlineStr">
        <is>
          <t>B</t>
        </is>
      </c>
    </row>
    <row r="12">
      <c r="A12" s="4" t="inlineStr">
        <is>
          <t>Amount Field</t>
        </is>
      </c>
      <c r="B12" t="inlineStr">
        <is>
          <t>Total Amount</t>
        </is>
      </c>
    </row>
    <row r="14">
      <c r="A14" s="16" t="inlineStr">
        <is>
          <t>Data Coverage</t>
        </is>
      </c>
      <c r="B14" t="inlineStr"/>
    </row>
    <row r="15">
      <c r="A15" s="4" t="inlineStr">
        <is>
          <t>Date Range Start</t>
        </is>
      </c>
      <c r="B15" t="inlineStr">
        <is>
          <t>2025-04</t>
        </is>
      </c>
    </row>
    <row r="16">
      <c r="A16" s="4" t="inlineStr">
        <is>
          <t>Date Range End</t>
        </is>
      </c>
      <c r="B16" t="inlineStr">
        <is>
          <t>2025-09</t>
        </is>
      </c>
    </row>
    <row r="17">
      <c r="A17" s="4" t="inlineStr">
        <is>
          <t>Months Covered</t>
        </is>
      </c>
      <c r="B17" t="n">
        <v>6</v>
      </c>
    </row>
    <row r="18">
      <c r="A18" s="4" t="inlineStr">
        <is>
          <t>Total Records</t>
        </is>
      </c>
      <c r="B18" t="n">
        <v>146</v>
      </c>
    </row>
    <row r="20">
      <c r="A20" s="16" t="inlineStr">
        <is>
          <t>Vendors</t>
        </is>
      </c>
      <c r="B20" t="inlineStr"/>
    </row>
    <row r="21">
      <c r="A21" s="4" t="inlineStr">
        <is>
          <t>Unique Vendors</t>
        </is>
      </c>
      <c r="B21" t="n">
        <v>2</v>
      </c>
    </row>
    <row r="23">
      <c r="A23" s="16" t="inlineStr">
        <is>
          <t>NOTES</t>
        </is>
      </c>
    </row>
    <row r="24">
      <c r="A24" s="17" t="inlineStr">
        <is>
          <t>Pattern B - Use Total Amount from first record per invoice (6 invoices, 146 line items)</t>
        </is>
      </c>
    </row>
  </sheetData>
  <mergeCells count="2">
    <mergeCell ref="A24:B24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0" customWidth="1" min="4" max="4"/>
  </cols>
  <sheetData>
    <row r="1">
      <c r="A1" s="10" t="inlineStr">
        <is>
          <t>Data Validation Report</t>
        </is>
      </c>
    </row>
    <row r="2">
      <c r="A2" t="inlineStr">
        <is>
          <t>Property: The Club at Millenia</t>
        </is>
      </c>
    </row>
    <row r="3">
      <c r="A3" t="inlineStr">
        <is>
          <t>Extraction Date: 2025-11-13T07:23:39.987978</t>
        </is>
      </c>
    </row>
    <row r="4">
      <c r="A4" s="18" t="inlineStr">
        <is>
          <t>Overall Status: PASSED</t>
        </is>
      </c>
    </row>
    <row r="6">
      <c r="A6" s="11" t="inlineStr">
        <is>
          <t>VALIDATION CHECKS</t>
        </is>
      </c>
    </row>
    <row r="7">
      <c r="A7" s="5" t="inlineStr">
        <is>
          <t>Check</t>
        </is>
      </c>
      <c r="B7" s="5" t="inlineStr">
        <is>
          <t>Expected</t>
        </is>
      </c>
      <c r="C7" s="5" t="inlineStr">
        <is>
          <t>Actual</t>
        </is>
      </c>
      <c r="D7" s="5" t="inlineStr">
        <is>
          <t>Status</t>
        </is>
      </c>
    </row>
    <row r="8">
      <c r="A8" t="inlineStr">
        <is>
          <t>Total Spend</t>
        </is>
      </c>
      <c r="B8" s="8" t="n">
        <v>70061.16</v>
      </c>
      <c r="C8" s="8" t="n">
        <v>70061.16</v>
      </c>
      <c r="D8" s="18" t="inlineStr">
        <is>
          <t>PASS</t>
        </is>
      </c>
    </row>
    <row r="9">
      <c r="A9" t="inlineStr">
        <is>
          <t>Month Count</t>
        </is>
      </c>
      <c r="B9" t="n">
        <v>6</v>
      </c>
      <c r="C9" t="n">
        <v>6</v>
      </c>
      <c r="D9" s="18" t="inlineStr">
        <is>
          <t>PASS</t>
        </is>
      </c>
    </row>
    <row r="10">
      <c r="A10" t="inlineStr">
        <is>
          <t>Date Range</t>
        </is>
      </c>
      <c r="D10" s="18" t="inlineStr">
        <is>
          <t>PASS</t>
        </is>
      </c>
    </row>
  </sheetData>
  <mergeCells count="1">
    <mergeCell ref="A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2025-11-13T13:28:06Z</dcterms:created>
  <dcterms:modified xmlns:dcterms="http://purl.org/dc/terms/" xmlns:xsi="http://www.w3.org/2001/XMLSchema-instance" xsi:type="dcterms:W3CDTF">2025-11-13T13:28:06Z</dcterms:modified>
</cp:coreProperties>
</file>