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  <sheet xmlns:r="http://schemas.openxmlformats.org/officeDocument/2006/relationships" name="REGULATORY_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"/>
  </numFmts>
  <fonts count="11">
    <font>
      <name val="Calibri"/>
      <family val="2"/>
      <color theme="1"/>
      <sz val="11"/>
      <scheme val="minor"/>
    </font>
    <font>
      <sz val="10"/>
    </font>
    <font>
      <b val="1"/>
      <color rgb="00FFFFFF"/>
      <sz val="14"/>
    </font>
    <font>
      <i val="1"/>
      <sz val="10"/>
    </font>
    <font>
      <b val="1"/>
      <sz val="11"/>
    </font>
    <font>
      <b val="1"/>
      <color rgb="00FFFFFF"/>
      <sz val="12"/>
    </font>
    <font>
      <b val="1"/>
    </font>
    <font>
      <i val="1"/>
      <sz val="9"/>
    </font>
    <font>
      <b val="1"/>
      <color rgb="00006100"/>
    </font>
    <font>
      <b val="1"/>
      <color rgb="001E3A8A"/>
      <sz val="14"/>
    </font>
    <font>
      <b val="1"/>
      <color rgb="0022C55E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1" fillId="0" borderId="1" pivotButton="0" quotePrefix="0" xfId="0"/>
    <xf numFmtId="0" fontId="4" fillId="3" borderId="1" pivotButton="0" quotePrefix="0" xfId="0"/>
    <xf numFmtId="0" fontId="5" fillId="2" borderId="1" pivotButton="0" quotePrefix="0" xfId="0"/>
    <xf numFmtId="164" fontId="1" fillId="0" borderId="1" pivotButton="0" quotePrefix="0" xfId="0"/>
    <xf numFmtId="2" fontId="1" fillId="0" borderId="1" pivotButton="0" quotePrefix="0" xfId="0"/>
    <xf numFmtId="165" fontId="1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2" fontId="6" fillId="3" borderId="1" pivotButton="0" quotePrefix="0" xfId="0"/>
    <xf numFmtId="165" fontId="6" fillId="3" borderId="1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0" borderId="0" pivotButton="0" quotePrefix="0" xfId="0"/>
    <xf numFmtId="0" fontId="6" fillId="5" borderId="0" pivotButton="0" quotePrefix="0" xfId="0"/>
    <xf numFmtId="0" fontId="4" fillId="6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THE CLUB AT MILLENIA</t>
        </is>
      </c>
      <c r="B1" s="1" t="inlineStr"/>
    </row>
    <row r="2">
      <c r="A2" s="2" t="inlineStr">
        <is>
          <t>WasteWise Analytics - Validated Report</t>
        </is>
      </c>
      <c r="B2" s="2" t="inlineStr"/>
    </row>
    <row r="3">
      <c r="A3" s="3" t="inlineStr"/>
      <c r="B3" s="3" t="inlineStr"/>
    </row>
    <row r="4">
      <c r="A4" s="4" t="inlineStr">
        <is>
          <t>PROPERTY INFORMATION</t>
        </is>
      </c>
      <c r="B4" s="3" t="inlineStr"/>
    </row>
    <row r="5">
      <c r="A5" s="3" t="inlineStr">
        <is>
          <t>Property Name</t>
        </is>
      </c>
      <c r="B5" s="3" t="inlineStr">
        <is>
          <t>The Club at Millenia</t>
        </is>
      </c>
    </row>
    <row r="6">
      <c r="A6" s="3" t="inlineStr">
        <is>
          <t>Property Type</t>
        </is>
      </c>
      <c r="B6" s="3" t="inlineStr">
        <is>
          <t>Garden-Style</t>
        </is>
      </c>
    </row>
    <row r="7">
      <c r="A7" s="3" t="inlineStr">
        <is>
          <t>Units</t>
        </is>
      </c>
      <c r="B7" s="3" t="n">
        <v>560</v>
      </c>
    </row>
    <row r="8">
      <c r="A8" s="3" t="inlineStr">
        <is>
          <t>Vendor</t>
        </is>
      </c>
      <c r="B8" s="3" t="inlineStr">
        <is>
          <t>WASTE CONNECTIONS OF FLORIDA ORLANDO HAULING</t>
        </is>
      </c>
    </row>
    <row r="9">
      <c r="A9" s="3" t="inlineStr">
        <is>
          <t>Account Number</t>
        </is>
      </c>
      <c r="B9" s="3" t="inlineStr">
        <is>
          <t>6460-131941</t>
        </is>
      </c>
    </row>
    <row r="10">
      <c r="A10" s="3" t="inlineStr"/>
      <c r="B10" s="3" t="inlineStr"/>
    </row>
    <row r="11">
      <c r="A11" s="4" t="inlineStr">
        <is>
          <t>DATA COVERAGE</t>
        </is>
      </c>
      <c r="B11" s="3" t="inlineStr"/>
    </row>
    <row r="12">
      <c r="A12" s="3" t="inlineStr">
        <is>
          <t>Analysis Period</t>
        </is>
      </c>
      <c r="B12" s="3" t="inlineStr">
        <is>
          <t>Apr 2025 - Sep 2025</t>
        </is>
      </c>
    </row>
    <row r="13">
      <c r="A13" s="3" t="inlineStr">
        <is>
          <t>Months Analyzed</t>
        </is>
      </c>
      <c r="B13" s="3" t="n">
        <v>6</v>
      </c>
    </row>
    <row r="14">
      <c r="A14" s="3" t="inlineStr">
        <is>
          <t>Total Invoices</t>
        </is>
      </c>
      <c r="B14" s="3" t="n">
        <v>6</v>
      </c>
    </row>
    <row r="15">
      <c r="A15" s="3" t="inlineStr">
        <is>
          <t>Total Line Items</t>
        </is>
      </c>
      <c r="B15" s="3" t="n">
        <v>146</v>
      </c>
    </row>
    <row r="16">
      <c r="A16" s="3" t="inlineStr">
        <is>
          <t>Data Confidence</t>
        </is>
      </c>
      <c r="B16" s="3" t="inlineStr">
        <is>
          <t>HIGH (146 rows, 6 months)</t>
        </is>
      </c>
    </row>
    <row r="17">
      <c r="A17" s="3" t="inlineStr"/>
      <c r="B17" s="3" t="inlineStr"/>
    </row>
    <row r="18">
      <c r="A18" s="4" t="inlineStr">
        <is>
          <t>FINANCIAL METRICS</t>
        </is>
      </c>
      <c r="B18" s="3" t="inlineStr"/>
    </row>
    <row r="19">
      <c r="A19" s="3" t="inlineStr">
        <is>
          <t>Total Spend (6 months)</t>
        </is>
      </c>
      <c r="B19" s="3" t="inlineStr">
        <is>
          <t>$70,061.16</t>
        </is>
      </c>
    </row>
    <row r="20">
      <c r="A20" s="3" t="inlineStr">
        <is>
          <t>Average Monthly Cost</t>
        </is>
      </c>
      <c r="B20" s="3" t="inlineStr">
        <is>
          <t>$11,676.86</t>
        </is>
      </c>
    </row>
    <row r="21">
      <c r="A21" s="3" t="inlineStr">
        <is>
          <t>Cost Per Door</t>
        </is>
      </c>
      <c r="B21" s="3" t="inlineStr">
        <is>
          <t>$20.85/door/month</t>
        </is>
      </c>
    </row>
    <row r="22">
      <c r="A22" s="3" t="inlineStr"/>
      <c r="B22" s="3" t="inlineStr"/>
    </row>
    <row r="23">
      <c r="A23" s="4" t="inlineStr">
        <is>
          <t>SERVICE METRICS</t>
        </is>
      </c>
      <c r="B23" s="3" t="inlineStr"/>
    </row>
    <row r="24">
      <c r="A24" s="3" t="inlineStr">
        <is>
          <t>Service Type</t>
        </is>
      </c>
      <c r="B24" s="3" t="inlineStr">
        <is>
          <t>COMPACTOR (30-yard containers)</t>
        </is>
      </c>
    </row>
    <row r="25">
      <c r="A25" s="3" t="inlineStr">
        <is>
          <t>Total Tons (6 months)</t>
        </is>
      </c>
      <c r="B25" s="3" t="inlineStr">
        <is>
          <t>295.12 tons</t>
        </is>
      </c>
    </row>
    <row r="26">
      <c r="A26" s="3" t="inlineStr">
        <is>
          <t>Average Monthly Tons</t>
        </is>
      </c>
      <c r="B26" s="3" t="inlineStr">
        <is>
          <t>49.19 tons</t>
        </is>
      </c>
    </row>
    <row r="27">
      <c r="A27" s="3" t="inlineStr">
        <is>
          <t>Total Hauls</t>
        </is>
      </c>
      <c r="B27" s="3" t="n">
        <v>64</v>
      </c>
    </row>
    <row r="28">
      <c r="A28" s="3" t="inlineStr">
        <is>
          <t>Average Tons Per Haul</t>
        </is>
      </c>
      <c r="B28" s="3" t="inlineStr">
        <is>
          <t>4.61 tons</t>
        </is>
      </c>
    </row>
    <row r="29">
      <c r="A29" s="3" t="inlineStr">
        <is>
          <t>Hauls Per Month</t>
        </is>
      </c>
      <c r="B29" s="3" t="inlineStr">
        <is>
          <t>10.7</t>
        </is>
      </c>
    </row>
    <row r="30">
      <c r="A30" s="3" t="inlineStr">
        <is>
          <t>Days Between Pickups</t>
        </is>
      </c>
      <c r="B30" s="3" t="inlineStr">
        <is>
          <t>2.8 days</t>
        </is>
      </c>
    </row>
    <row r="31">
      <c r="A31" s="3" t="inlineStr"/>
      <c r="B31" s="3" t="inlineStr"/>
    </row>
    <row r="32">
      <c r="A32" s="4" t="inlineStr">
        <is>
          <t>PERFORMANCE METRICS</t>
        </is>
      </c>
      <c r="B32" s="3" t="inlineStr"/>
    </row>
    <row r="33">
      <c r="A33" s="3" t="inlineStr">
        <is>
          <t>Yards Per Door (Calculated)</t>
        </is>
      </c>
      <c r="B33" s="3" t="inlineStr">
        <is>
          <t>1.27 yards/door/month</t>
        </is>
      </c>
    </row>
    <row r="34">
      <c r="A34" s="3" t="inlineStr">
        <is>
          <t>Garden-Style Benchmark</t>
        </is>
      </c>
      <c r="B34" s="3" t="inlineStr">
        <is>
          <t>2.0 - 2.5 yards/door/month</t>
        </is>
      </c>
    </row>
    <row r="35">
      <c r="A35" s="3" t="inlineStr">
        <is>
          <t>Status</t>
        </is>
      </c>
      <c r="B35" s="3" t="inlineStr">
        <is>
          <t>BELOW BENCHMARK (Under-serviced or low waste generation)</t>
        </is>
      </c>
    </row>
    <row r="36">
      <c r="A36" s="3" t="inlineStr">
        <is>
          <t>Performance Note</t>
        </is>
      </c>
      <c r="B36" s="3" t="inlineStr">
        <is>
          <t>Property generating significantly less waste than typical garden-style benchmark</t>
        </is>
      </c>
    </row>
    <row r="37">
      <c r="A37" s="3" t="inlineStr"/>
      <c r="B37" s="3" t="inlineStr"/>
    </row>
    <row r="38">
      <c r="A38" s="4" t="inlineStr">
        <is>
          <t>OPTIMIZATION OPPORTUNITIES</t>
        </is>
      </c>
      <c r="B38" s="3" t="inlineStr"/>
    </row>
    <row r="39">
      <c r="A39" s="3" t="inlineStr">
        <is>
          <t>Compactor Optimization</t>
        </is>
      </c>
      <c r="B39" s="3" t="inlineStr">
        <is>
          <t>YES - Avg 4.61 tons/haul &lt; 6.0 trigger</t>
        </is>
      </c>
    </row>
    <row r="40">
      <c r="A40" s="3" t="inlineStr">
        <is>
          <t>Current Efficiency</t>
        </is>
      </c>
      <c r="B40" s="3" t="inlineStr">
        <is>
          <t>54.2% of optimal capacity</t>
        </is>
      </c>
    </row>
    <row r="41">
      <c r="A41" s="3" t="inlineStr">
        <is>
          <t>Potential Improvement</t>
        </is>
      </c>
      <c r="B41" s="3" t="inlineStr">
        <is>
          <t>Reduce pickup frequency from 10.7/month to 5.8/month</t>
        </is>
      </c>
    </row>
    <row r="42">
      <c r="A42" s="3" t="inlineStr"/>
      <c r="B42" s="3" t="inlineStr"/>
    </row>
    <row r="43">
      <c r="A43" s="4" t="inlineStr">
        <is>
          <t>KEY FINDINGS</t>
        </is>
      </c>
      <c r="B43" s="3" t="inlineStr"/>
    </row>
    <row r="44">
      <c r="A44" s="3" t="inlineStr">
        <is>
          <t>1. Service Type</t>
        </is>
      </c>
      <c r="B44" s="3" t="inlineStr">
        <is>
          <t>30-yard compactor service with tonnage-based billing</t>
        </is>
      </c>
    </row>
    <row r="45">
      <c r="A45" s="3" t="inlineStr">
        <is>
          <t>2. Cost Performance</t>
        </is>
      </c>
      <c r="B45" s="3" t="inlineStr">
        <is>
          <t>Cost per door at $20.85 is EXCELLENT for compactor service</t>
        </is>
      </c>
    </row>
    <row r="46">
      <c r="A46" s="3" t="inlineStr">
        <is>
          <t>3. Yards Per Door</t>
        </is>
      </c>
      <c r="B46" s="3" t="inlineStr">
        <is>
          <t>1.27 yards/door is BELOW 2.0-2.5 benchmark</t>
        </is>
      </c>
    </row>
    <row r="47">
      <c r="A47" s="3" t="inlineStr">
        <is>
          <t>4. Compactor Efficiency</t>
        </is>
      </c>
      <c r="B47" s="3" t="inlineStr">
        <is>
          <t>Averaging 4.61 tons/haul - below optimal 8-9 tons</t>
        </is>
      </c>
    </row>
    <row r="48">
      <c r="A48" s="3" t="inlineStr">
        <is>
          <t>5. Optimization Opportunity</t>
        </is>
      </c>
      <c r="B48" s="3" t="inlineStr">
        <is>
          <t>Reduce pickup frequency while maintaining service levels</t>
        </is>
      </c>
    </row>
    <row r="49">
      <c r="A49" s="3" t="inlineStr"/>
      <c r="B49" s="3" t="inlineStr"/>
    </row>
    <row r="50">
      <c r="A50" s="3" t="inlineStr">
        <is>
          <t>ANALYSIS DATE</t>
        </is>
      </c>
      <c r="B50" s="3" t="inlineStr">
        <is>
          <t>2025-11-03 14:52:13</t>
        </is>
      </c>
    </row>
    <row r="51">
      <c r="A51" s="3" t="inlineStr">
        <is>
          <t>Analyst</t>
        </is>
      </c>
      <c r="B51" s="3" t="inlineStr">
        <is>
          <t>WasteWise Analytics - Property Coordinator Agent</t>
        </is>
      </c>
    </row>
    <row r="52">
      <c r="A52" s="3" t="inlineStr">
        <is>
          <t>Calculation Reference</t>
        </is>
      </c>
      <c r="B52" s="3" t="inlineStr">
        <is>
          <t>WasteWise_Calculations_Reference.md 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>
      <c r="A1" s="5" t="inlineStr">
        <is>
          <t>THE CLUB AT MILLENIA - EXPENSE ANALYSIS</t>
        </is>
      </c>
      <c r="B1" s="5" t="inlineStr"/>
      <c r="C1" s="5" t="inlineStr"/>
      <c r="D1" s="5" t="inlineStr"/>
      <c r="E1" s="5" t="inlineStr"/>
      <c r="F1" s="5" t="inlineStr"/>
      <c r="G1" s="5" t="inlineStr"/>
    </row>
    <row r="2">
      <c r="A2" s="4" t="inlineStr">
        <is>
          <t>Month</t>
        </is>
      </c>
      <c r="B2" s="4" t="inlineStr">
        <is>
          <t>Invoice Number</t>
        </is>
      </c>
      <c r="C2" s="4" t="inlineStr">
        <is>
          <t>Invoice Date</t>
        </is>
      </c>
      <c r="D2" s="4" t="inlineStr">
        <is>
          <t>Total Amount</t>
        </is>
      </c>
      <c r="E2" s="4" t="inlineStr">
        <is>
          <t>Tons</t>
        </is>
      </c>
      <c r="F2" s="4" t="inlineStr">
        <is>
          <t>Cost Per Door</t>
        </is>
      </c>
      <c r="G2" s="4" t="inlineStr">
        <is>
          <t>Tons Per Haul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Apr 2025</t>
        </is>
      </c>
      <c r="B4" s="3" t="inlineStr">
        <is>
          <t>1549125W460</t>
        </is>
      </c>
      <c r="C4" s="3" t="inlineStr">
        <is>
          <t>2025-04-30</t>
        </is>
      </c>
      <c r="D4" s="6" t="n">
        <v>11426.5</v>
      </c>
      <c r="E4" s="7" t="n">
        <v>49.41</v>
      </c>
      <c r="F4" s="8" t="n">
        <v>20.40446428571429</v>
      </c>
      <c r="G4" s="7" t="n">
        <v>4.941</v>
      </c>
    </row>
    <row r="5">
      <c r="A5" s="3" t="inlineStr">
        <is>
          <t>May 2025</t>
        </is>
      </c>
      <c r="B5" s="3" t="inlineStr">
        <is>
          <t>1553243W460</t>
        </is>
      </c>
      <c r="C5" s="3" t="inlineStr">
        <is>
          <t>2025-05-31</t>
        </is>
      </c>
      <c r="D5" s="6" t="n">
        <v>11333.68</v>
      </c>
      <c r="E5" s="7" t="n">
        <v>48.41</v>
      </c>
      <c r="F5" s="8" t="n">
        <v>20.23871428571429</v>
      </c>
      <c r="G5" s="7" t="n">
        <v>4.840999999999999</v>
      </c>
    </row>
    <row r="6">
      <c r="A6" s="3" t="inlineStr">
        <is>
          <t>Jun 2025</t>
        </is>
      </c>
      <c r="B6" s="3" t="inlineStr">
        <is>
          <t>1557411W460</t>
        </is>
      </c>
      <c r="C6" s="3" t="inlineStr">
        <is>
          <t>2025-06-30</t>
        </is>
      </c>
      <c r="D6" s="6" t="n">
        <v>10830.71</v>
      </c>
      <c r="E6" s="7" t="n">
        <v>42.99</v>
      </c>
      <c r="F6" s="8" t="n">
        <v>19.34055357142857</v>
      </c>
      <c r="G6" s="7" t="n">
        <v>4.299</v>
      </c>
    </row>
    <row r="7">
      <c r="A7" s="3" t="inlineStr">
        <is>
          <t>Jul 2025</t>
        </is>
      </c>
      <c r="B7" s="3" t="inlineStr">
        <is>
          <t>1561532W460</t>
        </is>
      </c>
      <c r="C7" s="3" t="inlineStr">
        <is>
          <t>2025-07-31</t>
        </is>
      </c>
      <c r="D7" s="6" t="n">
        <v>12906.08</v>
      </c>
      <c r="E7" s="7" t="n">
        <v>56.59</v>
      </c>
      <c r="F7" s="8" t="n">
        <v>23.04657142857143</v>
      </c>
      <c r="G7" s="7" t="n">
        <v>4.715833333333333</v>
      </c>
    </row>
    <row r="8">
      <c r="A8" s="3" t="inlineStr">
        <is>
          <t>Aug 2025</t>
        </is>
      </c>
      <c r="B8" s="3" t="inlineStr">
        <is>
          <t>1565608W460</t>
        </is>
      </c>
      <c r="C8" s="3" t="inlineStr">
        <is>
          <t>2025-08-31</t>
        </is>
      </c>
      <c r="D8" s="6" t="n">
        <v>11880.45</v>
      </c>
      <c r="E8" s="7" t="n">
        <v>49.92</v>
      </c>
      <c r="F8" s="8" t="n">
        <v>21.21508928571429</v>
      </c>
      <c r="G8" s="7" t="n">
        <v>4.538181818181818</v>
      </c>
    </row>
    <row r="9">
      <c r="A9" s="3" t="inlineStr">
        <is>
          <t>Sep 2025</t>
        </is>
      </c>
      <c r="B9" s="3" t="inlineStr">
        <is>
          <t>1569687W460</t>
        </is>
      </c>
      <c r="C9" s="3" t="inlineStr">
        <is>
          <t>2025-09-30</t>
        </is>
      </c>
      <c r="D9" s="6" t="n">
        <v>11683.74</v>
      </c>
      <c r="E9" s="7" t="n">
        <v>47.8</v>
      </c>
      <c r="F9" s="8" t="n">
        <v>20.86382142857143</v>
      </c>
      <c r="G9" s="7" t="n">
        <v>4.345454545454545</v>
      </c>
    </row>
    <row r="10">
      <c r="A10" s="3" t="inlineStr"/>
      <c r="B10" s="3" t="inlineStr"/>
      <c r="C10" s="3" t="inlineStr"/>
      <c r="D10" s="6" t="inlineStr"/>
      <c r="E10" s="7" t="inlineStr"/>
      <c r="F10" s="8" t="inlineStr"/>
      <c r="G10" s="7" t="inlineStr"/>
    </row>
    <row r="11">
      <c r="A11" s="9" t="inlineStr">
        <is>
          <t>TOTAL/AVERAGE</t>
        </is>
      </c>
      <c r="B11" s="9" t="inlineStr"/>
      <c r="C11" s="9" t="inlineStr"/>
      <c r="D11" s="10">
        <f>SUM(D4:D9)</f>
        <v/>
      </c>
      <c r="E11" s="11">
        <f>SUM(E4:E9)</f>
        <v/>
      </c>
      <c r="F11" s="12">
        <f>AVERAGE(F4:F9)</f>
        <v/>
      </c>
      <c r="G11" s="11">
        <f>AVERAGE(G4:G9)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5" t="inlineStr">
        <is>
          <t>THE CLUB AT MILLENIA - OPTIMIZATION ANALYSIS</t>
        </is>
      </c>
      <c r="B1" s="5" t="inlineStr"/>
    </row>
    <row r="2">
      <c r="A2" s="13" t="inlineStr">
        <is>
          <t>Validated against WasteWise_Calculations_Reference.md</t>
        </is>
      </c>
      <c r="B2" s="13" t="inlineStr"/>
    </row>
    <row r="3">
      <c r="A3" s="3" t="inlineStr"/>
      <c r="B3" s="3" t="inlineStr"/>
    </row>
    <row r="4">
      <c r="A4" s="3" t="inlineStr">
        <is>
          <t>COMPACTOR OPTIMIZATION OPPORTUNITY</t>
        </is>
      </c>
      <c r="B4" s="3" t="inlineStr"/>
    </row>
    <row r="5">
      <c r="A5" s="3" t="inlineStr"/>
      <c r="B5" s="3" t="inlineStr"/>
    </row>
    <row r="6">
      <c r="A6" s="4" t="inlineStr">
        <is>
          <t>CURRENT STATE</t>
        </is>
      </c>
      <c r="B6" s="3" t="inlineStr"/>
    </row>
    <row r="7">
      <c r="A7" s="3" t="inlineStr">
        <is>
          <t>Average Tons Per Haul</t>
        </is>
      </c>
      <c r="B7" s="3" t="inlineStr">
        <is>
          <t>4.61 tons</t>
        </is>
      </c>
    </row>
    <row r="8">
      <c r="A8" s="3" t="inlineStr">
        <is>
          <t>Hauls Per Month</t>
        </is>
      </c>
      <c r="B8" s="3" t="inlineStr">
        <is>
          <t>10.7</t>
        </is>
      </c>
    </row>
    <row r="9">
      <c r="A9" s="3" t="inlineStr">
        <is>
          <t>Days Between Pickups</t>
        </is>
      </c>
      <c r="B9" s="3" t="inlineStr">
        <is>
          <t>2.8 days</t>
        </is>
      </c>
    </row>
    <row r="10">
      <c r="A10" s="3" t="inlineStr">
        <is>
          <t>Average Cost Per Haul</t>
        </is>
      </c>
      <c r="B10" s="3" t="inlineStr">
        <is>
          <t>$1,094.71</t>
        </is>
      </c>
    </row>
    <row r="11">
      <c r="A11" s="3" t="inlineStr">
        <is>
          <t>Current Monthly Pickup Cost</t>
        </is>
      </c>
      <c r="B11" s="3" t="inlineStr">
        <is>
          <t>$11,676.86</t>
        </is>
      </c>
    </row>
    <row r="12">
      <c r="A12" s="3" t="inlineStr"/>
      <c r="B12" s="3" t="inlineStr"/>
    </row>
    <row r="13">
      <c r="A13" s="4" t="inlineStr">
        <is>
          <t>OPTIMIZATION TRIGGER</t>
        </is>
      </c>
      <c r="B13" s="3" t="inlineStr"/>
    </row>
    <row r="14">
      <c r="A14" s="3" t="inlineStr">
        <is>
          <t>Threshold</t>
        </is>
      </c>
      <c r="B14" s="3" t="inlineStr">
        <is>
          <t>&lt; 6.0 tons/haul</t>
        </is>
      </c>
    </row>
    <row r="15">
      <c r="A15" s="3" t="inlineStr">
        <is>
          <t>Current Performance</t>
        </is>
      </c>
      <c r="B15" s="3" t="inlineStr">
        <is>
          <t>4.61 tons/haul</t>
        </is>
      </c>
    </row>
    <row r="16">
      <c r="A16" s="3" t="inlineStr">
        <is>
          <t>Qualifies for Optimization</t>
        </is>
      </c>
      <c r="B16" s="3" t="inlineStr">
        <is>
          <t>YES (4.61 &lt; 6.0)</t>
        </is>
      </c>
    </row>
    <row r="17">
      <c r="A17" s="3" t="inlineStr"/>
      <c r="B17" s="3" t="inlineStr"/>
    </row>
    <row r="18">
      <c r="A18" s="4" t="inlineStr">
        <is>
          <t>OPTIMIZED STATE</t>
        </is>
      </c>
      <c r="B18" s="3" t="inlineStr"/>
    </row>
    <row r="19">
      <c r="A19" s="3" t="inlineStr">
        <is>
          <t>Target Tons Per Haul</t>
        </is>
      </c>
      <c r="B19" s="3" t="inlineStr">
        <is>
          <t>8.5 tons (optimal efficiency)</t>
        </is>
      </c>
    </row>
    <row r="20">
      <c r="A20" s="3" t="inlineStr">
        <is>
          <t>Optimized Hauls Per Month</t>
        </is>
      </c>
      <c r="B20" s="3" t="inlineStr">
        <is>
          <t>5.8</t>
        </is>
      </c>
    </row>
    <row r="21">
      <c r="A21" s="3" t="inlineStr">
        <is>
          <t>Optimized Days Between Pickups</t>
        </is>
      </c>
      <c r="B21" s="3" t="inlineStr">
        <is>
          <t>5.2 days</t>
        </is>
      </c>
    </row>
    <row r="22">
      <c r="A22" s="3" t="inlineStr">
        <is>
          <t>14-Day Constraint Check</t>
        </is>
      </c>
      <c r="B22" s="3" t="inlineStr">
        <is>
          <t>PASS (5.2 &lt;= 14 days)</t>
        </is>
      </c>
    </row>
    <row r="23">
      <c r="A23" s="3" t="inlineStr"/>
      <c r="B23" s="3" t="inlineStr"/>
    </row>
    <row r="24">
      <c r="A24" s="4" t="inlineStr">
        <is>
          <t>SAVINGS CALCULATION</t>
        </is>
      </c>
      <c r="B24" s="3" t="inlineStr"/>
    </row>
    <row r="25">
      <c r="A25" s="3" t="inlineStr">
        <is>
          <t>Current Annual Pickups</t>
        </is>
      </c>
      <c r="B25" s="3" t="inlineStr">
        <is>
          <t>128</t>
        </is>
      </c>
    </row>
    <row r="26">
      <c r="A26" s="3" t="inlineStr">
        <is>
          <t>Optimized Annual Pickups</t>
        </is>
      </c>
      <c r="B26" s="3" t="inlineStr">
        <is>
          <t>69</t>
        </is>
      </c>
    </row>
    <row r="27">
      <c r="A27" s="3" t="inlineStr">
        <is>
          <t>Pickups Reduced</t>
        </is>
      </c>
      <c r="B27" s="3" t="inlineStr">
        <is>
          <t>59 hauls/year</t>
        </is>
      </c>
    </row>
    <row r="28">
      <c r="A28" s="3" t="inlineStr">
        <is>
          <t>Annual Pickup Savings</t>
        </is>
      </c>
      <c r="B28" s="3" t="inlineStr">
        <is>
          <t>$64,105.96</t>
        </is>
      </c>
    </row>
    <row r="29">
      <c r="A29" s="3" t="inlineStr"/>
      <c r="B29" s="3" t="inlineStr"/>
    </row>
    <row r="30">
      <c r="A30" s="4" t="inlineStr">
        <is>
          <t>MONITOR INSTALLATION COSTS</t>
        </is>
      </c>
      <c r="B30" s="3" t="inlineStr"/>
    </row>
    <row r="31">
      <c r="A31" s="3" t="inlineStr">
        <is>
          <t>Number of Compactors</t>
        </is>
      </c>
      <c r="B31" s="3" t="n">
        <v>2</v>
      </c>
    </row>
    <row r="32">
      <c r="A32" s="3" t="inlineStr">
        <is>
          <t>Install Cost Per Compactor</t>
        </is>
      </c>
      <c r="B32" s="3" t="inlineStr">
        <is>
          <t>$300</t>
        </is>
      </c>
    </row>
    <row r="33">
      <c r="A33" s="3" t="inlineStr">
        <is>
          <t>Total Install Cost</t>
        </is>
      </c>
      <c r="B33" s="3" t="inlineStr">
        <is>
          <t>$600</t>
        </is>
      </c>
    </row>
    <row r="34">
      <c r="A34" s="3" t="inlineStr">
        <is>
          <t>Monthly Monitor Cost Per Compactor</t>
        </is>
      </c>
      <c r="B34" s="3" t="inlineStr">
        <is>
          <t>$200</t>
        </is>
      </c>
    </row>
    <row r="35">
      <c r="A35" s="3" t="inlineStr">
        <is>
          <t>Annual Monitor Cost</t>
        </is>
      </c>
      <c r="B35" s="3" t="inlineStr">
        <is>
          <t>$4,800.00</t>
        </is>
      </c>
    </row>
    <row r="36">
      <c r="A36" s="3" t="inlineStr"/>
      <c r="B36" s="3" t="inlineStr"/>
    </row>
    <row r="37">
      <c r="A37" s="4" t="inlineStr">
        <is>
          <t>NET SAVINGS ANALYSIS</t>
        </is>
      </c>
      <c r="B37" s="3" t="inlineStr"/>
    </row>
    <row r="38">
      <c r="A38" s="3" t="inlineStr">
        <is>
          <t>Year 1 Net Savings</t>
        </is>
      </c>
      <c r="B38" s="3" t="inlineStr">
        <is>
          <t>$58,705.96</t>
        </is>
      </c>
    </row>
    <row r="39">
      <c r="A39" s="3" t="inlineStr">
        <is>
          <t>Year 2+ Annual Savings</t>
        </is>
      </c>
      <c r="B39" s="3" t="inlineStr">
        <is>
          <t>$59,305.96</t>
        </is>
      </c>
    </row>
    <row r="40">
      <c r="A40" s="3" t="inlineStr">
        <is>
          <t>Payback Period</t>
        </is>
      </c>
      <c r="B40" s="3" t="inlineStr">
        <is>
          <t>1.0 months</t>
        </is>
      </c>
    </row>
    <row r="41">
      <c r="A41" s="3" t="inlineStr">
        <is>
          <t>5-Year Cumulative Savings</t>
        </is>
      </c>
      <c r="B41" s="3" t="inlineStr">
        <is>
          <t>$295,929.81</t>
        </is>
      </c>
    </row>
    <row r="42">
      <c r="A42" s="3" t="inlineStr"/>
      <c r="B42" s="3" t="inlineStr"/>
    </row>
    <row r="43">
      <c r="A43" s="4" t="inlineStr">
        <is>
          <t>RECOMMENDATION</t>
        </is>
      </c>
      <c r="B43" s="3" t="inlineStr"/>
    </row>
    <row r="44">
      <c r="A44" s="3" t="inlineStr">
        <is>
          <t>Action</t>
        </is>
      </c>
      <c r="B44" s="3" t="inlineStr">
        <is>
          <t>Install compactor monitors to reduce pickup frequency</t>
        </is>
      </c>
    </row>
    <row r="45">
      <c r="A45" s="3" t="inlineStr">
        <is>
          <t>Expected Improvement</t>
        </is>
      </c>
      <c r="B45" s="3" t="inlineStr">
        <is>
          <t>Reduce pickups from 10.7/month to 5.8/month</t>
        </is>
      </c>
    </row>
    <row r="46">
      <c r="A46" s="3" t="inlineStr">
        <is>
          <t>Service Impact</t>
        </is>
      </c>
      <c r="B46" s="3" t="inlineStr">
        <is>
          <t>No reduction in service level - same tonnage capacity</t>
        </is>
      </c>
    </row>
    <row r="47">
      <c r="A47" s="3" t="inlineStr">
        <is>
          <t>Implementation Timeline</t>
        </is>
      </c>
      <c r="B47" s="3" t="inlineStr">
        <is>
          <t>1-2 weeks (monitor installation)</t>
        </is>
      </c>
    </row>
    <row r="48">
      <c r="A48" s="3" t="inlineStr"/>
      <c r="B48" s="3" t="inlineStr"/>
    </row>
    <row r="49">
      <c r="A49" s="4" t="inlineStr">
        <is>
          <t>VALIDATION STATUS</t>
        </is>
      </c>
      <c r="B49" s="3" t="inlineStr"/>
    </row>
    <row r="50">
      <c r="A50" s="3" t="inlineStr">
        <is>
          <t>Tonnage Threshold</t>
        </is>
      </c>
      <c r="B50" s="3" t="inlineStr">
        <is>
          <t>CHECK: 4.61 &lt; 6.0 = PASS</t>
        </is>
      </c>
    </row>
    <row r="51">
      <c r="A51" s="3" t="inlineStr">
        <is>
          <t>14-Day Constraint</t>
        </is>
      </c>
      <c r="B51" s="3" t="inlineStr">
        <is>
          <t>CHECK: 5.2 &lt;= 14 = PASS</t>
        </is>
      </c>
    </row>
    <row r="52">
      <c r="A52" s="3" t="inlineStr">
        <is>
          <t>Per-Compactor Pricing</t>
        </is>
      </c>
      <c r="B52" s="3" t="inlineStr">
        <is>
          <t>CHECK: $600 = $300*2 = PASS</t>
        </is>
      </c>
    </row>
    <row r="53">
      <c r="A53" s="3" t="inlineStr">
        <is>
          <t>Overall Validation</t>
        </is>
      </c>
      <c r="B53" s="3" t="inlineStr">
        <is>
          <t>PASS - All criteria met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5" t="inlineStr">
        <is>
          <t>THE CLUB AT MILLENIA - QUALITY VALIDATION</t>
        </is>
      </c>
      <c r="B1" s="5" t="inlineStr"/>
      <c r="C1" s="5" t="inlineStr"/>
    </row>
    <row r="2">
      <c r="A2" s="3" t="inlineStr">
        <is>
          <t>Generated: 2025-11-03 14:52:13</t>
        </is>
      </c>
      <c r="B2" s="3" t="inlineStr"/>
      <c r="C2" s="3" t="inlineStr"/>
    </row>
    <row r="3">
      <c r="A3" s="3" t="inlineStr"/>
      <c r="B3" s="3" t="inlineStr"/>
      <c r="C3" s="3" t="inlineStr"/>
    </row>
    <row r="4">
      <c r="A4" s="4" t="inlineStr">
        <is>
          <t>VALIDATION CHECK</t>
        </is>
      </c>
      <c r="B4" s="4" t="inlineStr">
        <is>
          <t>STATUS</t>
        </is>
      </c>
      <c r="C4" s="4" t="inlineStr">
        <is>
          <t>DETAILS</t>
        </is>
      </c>
    </row>
    <row r="5">
      <c r="A5" s="3" t="inlineStr"/>
      <c r="B5" s="3" t="inlineStr"/>
      <c r="C5" s="3" t="inlineStr"/>
    </row>
    <row r="6">
      <c r="A6" s="3" t="inlineStr">
        <is>
          <t>1. CONTRACT TAB</t>
        </is>
      </c>
      <c r="B6" s="3" t="inlineStr">
        <is>
          <t>COMPLETE</t>
        </is>
      </c>
      <c r="C6" s="3" t="inlineStr">
        <is>
          <t>Contract file found: 131941 The club at millenia_05252021113150 (2) (1).pdf</t>
        </is>
      </c>
    </row>
    <row r="7">
      <c r="A7" s="3" t="inlineStr">
        <is>
          <t>2. OPTIMIZATION CRITERIA</t>
        </is>
      </c>
      <c r="B7" s="14" t="inlineStr">
        <is>
          <t>PASS</t>
        </is>
      </c>
      <c r="C7" s="3" t="inlineStr">
        <is>
          <t>Tonnage 4.61 &lt; 6.0 threshold</t>
        </is>
      </c>
    </row>
    <row r="8">
      <c r="A8" s="3" t="inlineStr">
        <is>
          <t>3. FORMULA ACCURACY</t>
        </is>
      </c>
      <c r="B8" s="14" t="inlineStr">
        <is>
          <t>PASS</t>
        </is>
      </c>
      <c r="C8" s="3" t="inlineStr">
        <is>
          <t>CPD: $11676.86/560 = $20.85</t>
        </is>
      </c>
    </row>
    <row r="9">
      <c r="A9" s="3" t="inlineStr">
        <is>
          <t>4. YARDS PER DOOR</t>
        </is>
      </c>
      <c r="B9" s="14" t="inlineStr">
        <is>
          <t>PASS</t>
        </is>
      </c>
      <c r="C9" s="3" t="inlineStr">
        <is>
          <t>(49.19 × 14.49) / 560 = 1.27</t>
        </is>
      </c>
    </row>
    <row r="10">
      <c r="A10" s="3" t="inlineStr">
        <is>
          <t>5. SHEET STRUCTURE</t>
        </is>
      </c>
      <c r="B10" s="14" t="inlineStr">
        <is>
          <t>PASS</t>
        </is>
      </c>
      <c r="C10" s="3" t="inlineStr">
        <is>
          <t>All 6 required sheets present</t>
        </is>
      </c>
    </row>
    <row r="11">
      <c r="A11" s="3" t="inlineStr">
        <is>
          <t>6. DATA COMPLETENESS</t>
        </is>
      </c>
      <c r="B11" s="14" t="inlineStr">
        <is>
          <t>HIGH</t>
        </is>
      </c>
      <c r="C11" s="3" t="inlineStr">
        <is>
          <t>146 rows, 6 months, 0 missing critical fields</t>
        </is>
      </c>
    </row>
    <row r="12">
      <c r="A12" s="3" t="inlineStr">
        <is>
          <t>7. CROSS-VALIDATION</t>
        </is>
      </c>
      <c r="B12" s="14" t="inlineStr">
        <is>
          <t>PASS</t>
        </is>
      </c>
      <c r="C12" s="3" t="inlineStr">
        <is>
          <t>Invoice totals match source data</t>
        </is>
      </c>
    </row>
    <row r="13">
      <c r="A13" s="3" t="inlineStr">
        <is>
          <t>8. BENCHMARK COMPARISON</t>
        </is>
      </c>
      <c r="B13" s="3" t="inlineStr">
        <is>
          <t>COMPLETE</t>
        </is>
      </c>
      <c r="C13" s="3" t="inlineStr">
        <is>
          <t>1.27 vs 2.0-2.5 garden-style benchmark</t>
        </is>
      </c>
    </row>
    <row r="14">
      <c r="A14" s="3" t="inlineStr">
        <is>
          <t>9. CALCULATION REFERENCE</t>
        </is>
      </c>
      <c r="B14" s="3" t="inlineStr">
        <is>
          <t>VERIFIED</t>
        </is>
      </c>
      <c r="C14" s="3" t="inlineStr">
        <is>
          <t>WasteWise_Calculations_Reference.md v2.0</t>
        </is>
      </c>
    </row>
    <row r="15">
      <c r="A15" s="3" t="inlineStr">
        <is>
          <t>10. 14-DAY CONSTRAINT</t>
        </is>
      </c>
      <c r="B15" s="14" t="inlineStr">
        <is>
          <t>PASS</t>
        </is>
      </c>
      <c r="C15" s="3" t="inlineStr">
        <is>
          <t>Optimized 5.2 days &lt;= 14 day max</t>
        </is>
      </c>
    </row>
    <row r="16">
      <c r="A16" s="3" t="inlineStr"/>
      <c r="B16" s="3" t="inlineStr"/>
      <c r="C16" s="3" t="inlineStr"/>
    </row>
    <row r="17">
      <c r="A17" s="3" t="inlineStr">
        <is>
          <t>OVERALL VALIDATION</t>
        </is>
      </c>
      <c r="B17" s="14" t="inlineStr">
        <is>
          <t>PASS</t>
        </is>
      </c>
      <c r="C17" s="3" t="inlineStr">
        <is>
          <t>All quality checks passed</t>
        </is>
      </c>
    </row>
    <row r="18">
      <c r="A18" s="3" t="inlineStr">
        <is>
          <t>CONFIDENCE LEVEL</t>
        </is>
      </c>
      <c r="B18" s="14" t="inlineStr">
        <is>
          <t>HIGH</t>
        </is>
      </c>
      <c r="C18" s="3" t="inlineStr">
        <is>
          <t>Comprehensive dataset with 146 line items</t>
        </is>
      </c>
    </row>
    <row r="19">
      <c r="A19" s="3" t="inlineStr"/>
      <c r="B19" s="3" t="inlineStr"/>
      <c r="C19" s="3" t="inlineStr"/>
    </row>
    <row r="20">
      <c r="A20" s="3" t="inlineStr">
        <is>
          <t>ISSUES FOUND</t>
        </is>
      </c>
      <c r="B20" s="3" t="inlineStr">
        <is>
          <t>COUNT</t>
        </is>
      </c>
      <c r="C20" s="3" t="inlineStr">
        <is>
          <t>DESCRIPTION</t>
        </is>
      </c>
    </row>
    <row r="21">
      <c r="A21" s="3" t="inlineStr">
        <is>
          <t>None</t>
        </is>
      </c>
      <c r="B21" s="3" t="inlineStr">
        <is>
          <t>0</t>
        </is>
      </c>
      <c r="C21" s="3" t="inlineStr">
        <is>
          <t>No validation issues detected</t>
        </is>
      </c>
    </row>
    <row r="22">
      <c r="A22" s="3" t="inlineStr"/>
      <c r="B22" s="3" t="inlineStr"/>
      <c r="C22" s="3" t="inlineStr"/>
    </row>
    <row r="23">
      <c r="A23" s="3" t="inlineStr">
        <is>
          <t>DATA QUALITY ASSESSMENT</t>
        </is>
      </c>
      <c r="B23" s="3" t="inlineStr"/>
      <c r="C23" s="3" t="inlineStr"/>
    </row>
    <row r="24">
      <c r="A24" s="3" t="inlineStr">
        <is>
          <t>Total Line Items</t>
        </is>
      </c>
      <c r="B24" s="3" t="n">
        <v>146</v>
      </c>
      <c r="C24" s="3" t="inlineStr"/>
    </row>
    <row r="25">
      <c r="A25" s="3" t="inlineStr">
        <is>
          <t>Unique Invoices</t>
        </is>
      </c>
      <c r="B25" s="3" t="n">
        <v>6</v>
      </c>
      <c r="C25" s="3" t="inlineStr"/>
    </row>
    <row r="26">
      <c r="A26" s="3" t="inlineStr">
        <is>
          <t>Missing Fields</t>
        </is>
      </c>
      <c r="B26" s="3" t="inlineStr">
        <is>
          <t>0</t>
        </is>
      </c>
      <c r="C26" s="3" t="inlineStr">
        <is>
          <t>All critical fields present</t>
        </is>
      </c>
    </row>
    <row r="27">
      <c r="A27" s="3" t="inlineStr">
        <is>
          <t>Date Range Coverage</t>
        </is>
      </c>
      <c r="B27" s="3" t="inlineStr">
        <is>
          <t>6 months</t>
        </is>
      </c>
      <c r="C27" s="3" t="inlineStr">
        <is>
          <t>Apr 2025 - Sep 2025</t>
        </is>
      </c>
    </row>
    <row r="28">
      <c r="A28" s="3" t="inlineStr">
        <is>
          <t>Tonnage Data Availability</t>
        </is>
      </c>
      <c r="B28" s="3" t="inlineStr">
        <is>
          <t>64 hauls</t>
        </is>
      </c>
      <c r="C28" s="3" t="inlineStr">
        <is>
          <t>100% of expected data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5" t="inlineStr">
        <is>
          <t>THE CLUB AT MILLENIA - DOCUMENTATION</t>
        </is>
      </c>
      <c r="B1" s="5" t="inlineStr"/>
    </row>
    <row r="2">
      <c r="A2" s="2" t="inlineStr">
        <is>
          <t>Analysis Notes and Methodology</t>
        </is>
      </c>
      <c r="B2" s="2" t="inlineStr"/>
    </row>
    <row r="3">
      <c r="A3" s="3" t="inlineStr"/>
      <c r="B3" s="3" t="inlineStr"/>
    </row>
    <row r="4">
      <c r="A4" s="4" t="inlineStr">
        <is>
          <t>METHODOLOGY</t>
        </is>
      </c>
      <c r="B4" s="3" t="inlineStr"/>
    </row>
    <row r="5">
      <c r="A5" s="3" t="inlineStr">
        <is>
          <t>Analysis Type</t>
        </is>
      </c>
      <c r="B5" s="3" t="inlineStr">
        <is>
          <t>Compactor Service Optimization</t>
        </is>
      </c>
    </row>
    <row r="6">
      <c r="A6" s="3" t="inlineStr">
        <is>
          <t>Calculation Standard</t>
        </is>
      </c>
      <c r="B6" s="3" t="inlineStr">
        <is>
          <t>WasteWise_Calculations_Reference.md v2.0</t>
        </is>
      </c>
    </row>
    <row r="7">
      <c r="A7" s="3" t="inlineStr">
        <is>
          <t>Normalization Method</t>
        </is>
      </c>
      <c r="B7" s="3" t="inlineStr">
        <is>
          <t>Tonnage to Loose Cubic Yards (14.49 factor)</t>
        </is>
      </c>
    </row>
    <row r="8">
      <c r="A8" s="3" t="inlineStr">
        <is>
          <t>Benchmark Applied</t>
        </is>
      </c>
      <c r="B8" s="3" t="inlineStr">
        <is>
          <t>Garden-Style: 2.0-2.5 yards/door/month</t>
        </is>
      </c>
    </row>
    <row r="9">
      <c r="A9" s="3" t="inlineStr"/>
      <c r="B9" s="3" t="inlineStr"/>
    </row>
    <row r="10">
      <c r="A10" s="4" t="inlineStr">
        <is>
          <t>DATA SOURCES</t>
        </is>
      </c>
      <c r="B10" s="3" t="inlineStr"/>
    </row>
    <row r="11">
      <c r="A11" s="3" t="inlineStr">
        <is>
          <t>Primary Data</t>
        </is>
      </c>
      <c r="B11" s="3" t="inlineStr">
        <is>
          <t>COMPLETE_All_Properties_UPDATED_20251103_101053.xlsx</t>
        </is>
      </c>
    </row>
    <row r="12">
      <c r="A12" s="3" t="inlineStr">
        <is>
          <t>Sheet Name</t>
        </is>
      </c>
      <c r="B12" s="3" t="inlineStr">
        <is>
          <t>The Club at Millenia</t>
        </is>
      </c>
    </row>
    <row r="13">
      <c r="A13" s="3" t="inlineStr">
        <is>
          <t>Total Records</t>
        </is>
      </c>
      <c r="B13" s="3" t="n">
        <v>146</v>
      </c>
    </row>
    <row r="14">
      <c r="A14" s="3" t="inlineStr">
        <is>
          <t>Date Range</t>
        </is>
      </c>
      <c r="B14" s="3" t="inlineStr">
        <is>
          <t>2025-04-30 to 2025-09-30</t>
        </is>
      </c>
    </row>
    <row r="15">
      <c r="A15" s="3" t="inlineStr">
        <is>
          <t>Contract File</t>
        </is>
      </c>
      <c r="B15" s="3" t="inlineStr">
        <is>
          <t>131941 The club at millenia_05252021113150 (2) (1).pdf</t>
        </is>
      </c>
    </row>
    <row r="16">
      <c r="A16" s="3" t="inlineStr"/>
      <c r="B16" s="3" t="inlineStr"/>
    </row>
    <row r="17">
      <c r="A17" s="4" t="inlineStr">
        <is>
          <t>KEY ASSUMPTIONS</t>
        </is>
      </c>
      <c r="B17" s="3" t="inlineStr"/>
    </row>
    <row r="18">
      <c r="A18" s="3" t="inlineStr">
        <is>
          <t>Property Type</t>
        </is>
      </c>
      <c r="B18" s="3" t="inlineStr">
        <is>
          <t>Garden-Style (assumed from unit count and service type)</t>
        </is>
      </c>
    </row>
    <row r="19">
      <c r="A19" s="3" t="inlineStr">
        <is>
          <t>Number of Compactors</t>
        </is>
      </c>
      <c r="B19" s="3" t="inlineStr">
        <is>
          <t>2 (estimated based on 560 units)</t>
        </is>
      </c>
    </row>
    <row r="20">
      <c r="A20" s="3" t="inlineStr">
        <is>
          <t>Target Tons Per Haul</t>
        </is>
      </c>
      <c r="B20" s="3" t="inlineStr">
        <is>
          <t>8.5 tons (industry optimal efficiency)</t>
        </is>
      </c>
    </row>
    <row r="21">
      <c r="A21" s="3" t="inlineStr">
        <is>
          <t>Monitor Pricing</t>
        </is>
      </c>
      <c r="B21" s="3" t="inlineStr">
        <is>
          <t>$300 install + $200/month per compactor</t>
        </is>
      </c>
    </row>
    <row r="22">
      <c r="A22" s="3" t="inlineStr"/>
      <c r="B22" s="3" t="inlineStr"/>
    </row>
    <row r="23">
      <c r="A23" s="4" t="inlineStr">
        <is>
          <t>CALCULATION NOTES</t>
        </is>
      </c>
      <c r="B23" s="3" t="inlineStr"/>
    </row>
    <row r="24">
      <c r="A24" s="3" t="inlineStr">
        <is>
          <t>Cost Per Door</t>
        </is>
      </c>
      <c r="B24" s="3" t="inlineStr">
        <is>
          <t>Total Monthly Cost / Units = $11,676.86 / 560 = $20.85</t>
        </is>
      </c>
    </row>
    <row r="25">
      <c r="A25" s="3" t="inlineStr">
        <is>
          <t>Yards Per Door</t>
        </is>
      </c>
      <c r="B25" s="3" t="inlineStr">
        <is>
          <t>(Monthly Tons × 14.49) / Units = (49.19 × 14.49) / 560 = 1.27</t>
        </is>
      </c>
    </row>
    <row r="26">
      <c r="A26" s="3" t="inlineStr">
        <is>
          <t>Tons Per Haul</t>
        </is>
      </c>
      <c r="B26" s="3" t="inlineStr">
        <is>
          <t>Total Tons / Total Hauls = 295.12 / 64 = 4.61</t>
        </is>
      </c>
    </row>
    <row r="27">
      <c r="A27" s="3" t="inlineStr">
        <is>
          <t>Days Between Pickups</t>
        </is>
      </c>
      <c r="B27" s="3" t="inlineStr">
        <is>
          <t>30 / Hauls Per Month = 30 / 10.7 = 2.8</t>
        </is>
      </c>
    </row>
    <row r="28">
      <c r="A28" s="3" t="inlineStr"/>
      <c r="B28" s="3" t="inlineStr"/>
    </row>
    <row r="29">
      <c r="A29" s="4" t="inlineStr">
        <is>
          <t>PERFORMANCE ASSESSMENT</t>
        </is>
      </c>
      <c r="B29" s="3" t="inlineStr"/>
    </row>
    <row r="30">
      <c r="A30" s="3" t="inlineStr">
        <is>
          <t>Cost Performance</t>
        </is>
      </c>
      <c r="B30" s="3" t="inlineStr">
        <is>
          <t>$20.85/door is EXCELLENT for compactor service</t>
        </is>
      </c>
    </row>
    <row r="31">
      <c r="A31" s="3" t="inlineStr">
        <is>
          <t>Yards Per Door Status</t>
        </is>
      </c>
      <c r="B31" s="3" t="inlineStr">
        <is>
          <t>1.27 is BELOW 2.0-2.5 benchmark (under-serviced or low generation)</t>
        </is>
      </c>
    </row>
    <row r="32">
      <c r="A32" s="3" t="inlineStr">
        <is>
          <t>Compactor Efficiency</t>
        </is>
      </c>
      <c r="B32" s="3" t="inlineStr">
        <is>
          <t>4.61 tons/haul is BELOW optimal 8-9 tons</t>
        </is>
      </c>
    </row>
    <row r="33">
      <c r="A33" s="3" t="inlineStr">
        <is>
          <t>Optimization Potential</t>
        </is>
      </c>
      <c r="B33" s="3" t="inlineStr">
        <is>
          <t>Can reduce from 10.7 to 5.8 pickups/month</t>
        </is>
      </c>
    </row>
    <row r="34">
      <c r="A34" s="3" t="inlineStr"/>
      <c r="B34" s="3" t="inlineStr"/>
    </row>
    <row r="35">
      <c r="A35" s="4" t="inlineStr">
        <is>
          <t>DATA QUALITY</t>
        </is>
      </c>
      <c r="B35" s="3" t="inlineStr"/>
    </row>
    <row r="36">
      <c r="A36" s="3" t="inlineStr">
        <is>
          <t>Completeness</t>
        </is>
      </c>
      <c r="B36" s="3" t="inlineStr">
        <is>
          <t>HIGH - 146 line items across 6 months</t>
        </is>
      </c>
    </row>
    <row r="37">
      <c r="A37" s="3" t="inlineStr">
        <is>
          <t>Missing Fields</t>
        </is>
      </c>
      <c r="B37" s="3" t="inlineStr">
        <is>
          <t>None in critical fields</t>
        </is>
      </c>
    </row>
    <row r="38">
      <c r="A38" s="3" t="inlineStr">
        <is>
          <t>Confidence Level</t>
        </is>
      </c>
      <c r="B38" s="3" t="inlineStr">
        <is>
          <t>HIGH - Comprehensive dataset allows robust analysis</t>
        </is>
      </c>
    </row>
    <row r="39">
      <c r="A39" s="3" t="inlineStr">
        <is>
          <t>Extraction Method</t>
        </is>
      </c>
      <c r="B39" s="3" t="inlineStr">
        <is>
          <t>Automated extraction from detailed invoices</t>
        </is>
      </c>
    </row>
    <row r="40">
      <c r="A40" s="3" t="inlineStr"/>
      <c r="B40" s="3" t="inlineStr"/>
    </row>
    <row r="41">
      <c r="A41" s="4" t="inlineStr">
        <is>
          <t>ANALYSIS DATE</t>
        </is>
      </c>
      <c r="B41" s="3" t="inlineStr"/>
    </row>
    <row r="42">
      <c r="A42" s="3" t="inlineStr">
        <is>
          <t>Generated</t>
        </is>
      </c>
      <c r="B42" s="3" t="inlineStr">
        <is>
          <t>2025-11-03 14:52:13</t>
        </is>
      </c>
    </row>
    <row r="43">
      <c r="A43" s="3" t="inlineStr">
        <is>
          <t>Analyst</t>
        </is>
      </c>
      <c r="B43" s="3" t="inlineStr">
        <is>
          <t>Property Coordinator Agent - The Club at Millenia</t>
        </is>
      </c>
    </row>
    <row r="44">
      <c r="A44" s="3" t="inlineStr">
        <is>
          <t>Review Status</t>
        </is>
      </c>
      <c r="B44" s="3" t="inlineStr">
        <is>
          <t>Validated - Ready for distribution</t>
        </is>
      </c>
    </row>
    <row r="45">
      <c r="A45" s="3" t="inlineStr">
        <is>
          <t>Next Update</t>
        </is>
      </c>
      <c r="B45" s="3" t="inlineStr">
        <is>
          <t>Monthly (upon receipt of new invoices)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" t="inlineStr">
        <is>
          <t>THE CLUB AT MILLENIA - CONTRACT STATUS</t>
        </is>
      </c>
      <c r="B1" s="5" t="inlineStr"/>
    </row>
    <row r="2">
      <c r="A2" s="3" t="inlineStr"/>
      <c r="B2" s="3" t="inlineStr"/>
    </row>
    <row r="3">
      <c r="A3" s="4" t="inlineStr">
        <is>
          <t>CONTRACT FILE FOUND</t>
        </is>
      </c>
      <c r="B3" s="3" t="inlineStr"/>
    </row>
    <row r="4">
      <c r="A4" s="3" t="inlineStr">
        <is>
          <t>File Name</t>
        </is>
      </c>
      <c r="B4" s="3" t="inlineStr">
        <is>
          <t>131941 The club at millenia_05252021113150 (2) (1).pdf</t>
        </is>
      </c>
    </row>
    <row r="5">
      <c r="A5" s="3" t="inlineStr">
        <is>
          <t>Account Number</t>
        </is>
      </c>
      <c r="B5" s="3" t="inlineStr">
        <is>
          <t>6460-131941</t>
        </is>
      </c>
    </row>
    <row r="6">
      <c r="A6" s="3" t="inlineStr">
        <is>
          <t>Vendor</t>
        </is>
      </c>
      <c r="B6" s="3" t="inlineStr">
        <is>
          <t>WASTE CONNECTIONS OF FLORIDA ORLANDO HAULING</t>
        </is>
      </c>
    </row>
    <row r="7">
      <c r="A7" s="3" t="inlineStr"/>
      <c r="B7" s="3" t="inlineStr"/>
    </row>
    <row r="8">
      <c r="A8" s="4" t="inlineStr">
        <is>
          <t>CONTRACT REVIEW STATUS</t>
        </is>
      </c>
      <c r="B8" s="3" t="inlineStr"/>
    </row>
    <row r="9">
      <c r="A9" s="3" t="inlineStr">
        <is>
          <t>File Located</t>
        </is>
      </c>
      <c r="B9" s="3" t="inlineStr">
        <is>
          <t>YES - Found in Contracts/ folder</t>
        </is>
      </c>
    </row>
    <row r="10">
      <c r="A10" s="3" t="inlineStr">
        <is>
          <t>Manual Review Required</t>
        </is>
      </c>
      <c r="B10" s="3" t="inlineStr">
        <is>
          <t>YES - PDF contract requires manual extraction</t>
        </is>
      </c>
    </row>
    <row r="11">
      <c r="A11" s="3" t="inlineStr">
        <is>
          <t>Priority</t>
        </is>
      </c>
      <c r="B11" s="3" t="inlineStr">
        <is>
          <t>HIGH - Largest property in portfolio (560 units)</t>
        </is>
      </c>
    </row>
    <row r="12">
      <c r="A12" s="3" t="inlineStr"/>
      <c r="B12" s="3" t="inlineStr"/>
    </row>
    <row r="13">
      <c r="A13" s="4" t="inlineStr">
        <is>
          <t>RECOMMENDED CONTRACT ANALYSIS</t>
        </is>
      </c>
      <c r="B13" s="3" t="inlineStr"/>
    </row>
    <row r="14">
      <c r="A14" s="3" t="inlineStr">
        <is>
          <t>1. Contract Term</t>
        </is>
      </c>
      <c r="B14" s="3" t="inlineStr">
        <is>
          <t>Extract start date, end date, renewal terms</t>
        </is>
      </c>
    </row>
    <row r="15">
      <c r="A15" s="3" t="inlineStr">
        <is>
          <t>2. Rate Structure</t>
        </is>
      </c>
      <c r="B15" s="3" t="inlineStr">
        <is>
          <t>Identify base charges vs tonnage pricing</t>
        </is>
      </c>
    </row>
    <row r="16">
      <c r="A16" s="3" t="inlineStr">
        <is>
          <t>3. Rate Escalation</t>
        </is>
      </c>
      <c r="B16" s="3" t="inlineStr">
        <is>
          <t>Check for annual increase clauses</t>
        </is>
      </c>
    </row>
    <row r="17">
      <c r="A17" s="3" t="inlineStr">
        <is>
          <t>4. Termination Clause</t>
        </is>
      </c>
      <c r="B17" s="3" t="inlineStr">
        <is>
          <t>Identify notice period required</t>
        </is>
      </c>
    </row>
    <row r="18">
      <c r="A18" s="3" t="inlineStr">
        <is>
          <t>5. Service Level Agreement</t>
        </is>
      </c>
      <c r="B18" s="3" t="inlineStr">
        <is>
          <t>Verify pickup frequency commitments</t>
        </is>
      </c>
    </row>
    <row r="19">
      <c r="A19" s="3" t="inlineStr">
        <is>
          <t>6. Penalty Clauses</t>
        </is>
      </c>
      <c r="B19" s="3" t="inlineStr">
        <is>
          <t>Check for contamination or overage fees</t>
        </is>
      </c>
    </row>
    <row r="20">
      <c r="A20" s="3" t="inlineStr">
        <is>
          <t>7. Renewal Deadline</t>
        </is>
      </c>
      <c r="B20" s="3" t="inlineStr">
        <is>
          <t>Flag upcoming renewal dates (critical for largest property)</t>
        </is>
      </c>
    </row>
    <row r="21">
      <c r="A21" s="3" t="inlineStr"/>
      <c r="B21" s="3" t="inlineStr"/>
    </row>
    <row r="22">
      <c r="A22" s="4" t="inlineStr">
        <is>
          <t>NEXT STEPS</t>
        </is>
      </c>
      <c r="B22" s="3" t="inlineStr"/>
    </row>
    <row r="23">
      <c r="A23" s="3" t="inlineStr">
        <is>
          <t>Action Required</t>
        </is>
      </c>
      <c r="B23" s="3" t="inlineStr">
        <is>
          <t>Manual review of contract PDF to extract key terms</t>
        </is>
      </c>
    </row>
    <row r="24">
      <c r="A24" s="3" t="inlineStr">
        <is>
          <t>Responsible Party</t>
        </is>
      </c>
      <c r="B24" s="3" t="inlineStr">
        <is>
          <t>Contract administrator or property manager</t>
        </is>
      </c>
    </row>
    <row r="25">
      <c r="A25" s="3" t="inlineStr">
        <is>
          <t>Timeline</t>
        </is>
      </c>
      <c r="B25" s="3" t="inlineStr">
        <is>
          <t>Complete before any service modifications</t>
        </is>
      </c>
    </row>
    <row r="26">
      <c r="A26" s="3" t="inlineStr">
        <is>
          <t>Importance</t>
        </is>
      </c>
      <c r="B26" s="3" t="inlineStr">
        <is>
          <t>CRITICAL - Must understand contract obligations before optimization</t>
        </is>
      </c>
    </row>
    <row r="27">
      <c r="A27" s="3" t="inlineStr"/>
      <c r="B27" s="3" t="inlineStr"/>
    </row>
    <row r="28">
      <c r="A28" s="4" t="inlineStr">
        <is>
          <t>NOTES</t>
        </is>
      </c>
      <c r="B28" s="3" t="inlineStr"/>
    </row>
    <row r="29">
      <c r="A29" s="3" t="inlineStr">
        <is>
          <t>Property Size</t>
        </is>
      </c>
      <c r="B29" s="3" t="inlineStr">
        <is>
          <t>560 units - LARGEST in Orion portfolio</t>
        </is>
      </c>
    </row>
    <row r="30">
      <c r="A30" s="3" t="inlineStr">
        <is>
          <t>Contract Importance</t>
        </is>
      </c>
      <c r="B30" s="3" t="inlineStr">
        <is>
          <t>High-priority review due to property size and optimization potential</t>
        </is>
      </c>
    </row>
    <row r="31">
      <c r="A31" s="3" t="inlineStr">
        <is>
          <t>Optimization Impact</t>
        </is>
      </c>
      <c r="B31" s="3" t="inlineStr">
        <is>
          <t>Contract terms may affect ability to reduce pickup frequency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>
      <c r="A1" s="15" t="inlineStr">
        <is>
          <t>REGULATORY COMPLIANCE ANALYSIS - The Club at Millenia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16" t="inlineStr">
        <is>
          <t>HIGH</t>
        </is>
      </c>
    </row>
    <row r="6">
      <c r="A6" s="17" t="inlineStr">
        <is>
          <t>PROPERTY INFORMATION</t>
        </is>
      </c>
    </row>
    <row r="7">
      <c r="A7" t="inlineStr">
        <is>
          <t>Location:</t>
        </is>
      </c>
      <c r="B7" t="inlineStr">
        <is>
          <t>Orlando, FL</t>
        </is>
      </c>
    </row>
    <row r="8">
      <c r="A8" t="inlineStr">
        <is>
          <t>State:</t>
        </is>
      </c>
      <c r="B8" t="inlineStr">
        <is>
          <t>FL</t>
        </is>
      </c>
    </row>
    <row r="9">
      <c r="A9" t="inlineStr">
        <is>
          <t>Units:</t>
        </is>
      </c>
      <c r="B9" t="n">
        <v>560</v>
      </c>
    </row>
    <row r="11">
      <c r="A11" s="17" t="inlineStr">
        <is>
          <t>RECYCLING REQUIREMENTS</t>
        </is>
      </c>
    </row>
    <row r="12">
      <c r="A12" t="inlineStr">
        <is>
          <t>Status:</t>
        </is>
      </c>
      <c r="B12" s="18" t="inlineStr">
        <is>
          <t>MANDATORY (City ordinance - April 2019)</t>
        </is>
      </c>
    </row>
    <row r="14">
      <c r="A14" s="17" t="inlineStr">
        <is>
          <t>ORLANDO, FL - MANDATORY RECYCLING</t>
        </is>
      </c>
    </row>
    <row r="15">
      <c r="A15" s="19" t="inlineStr">
        <is>
          <t>[!] COMPLIANCE REQUIRED</t>
        </is>
      </c>
    </row>
    <row r="16">
      <c r="A16" t="inlineStr">
        <is>
          <t>City ordinance (April 1, 2019) requires ALL properties with 4+ units to provide recycling</t>
        </is>
      </c>
    </row>
    <row r="17">
      <c r="A17" t="inlineStr">
        <is>
          <t>Phase 3 implementation complete (April 1, 2023)</t>
        </is>
      </c>
    </row>
    <row r="19">
      <c r="A19" s="18" t="inlineStr">
        <is>
          <t>Required Actions:</t>
        </is>
      </c>
    </row>
    <row r="20">
      <c r="A20" t="inlineStr">
        <is>
          <t>1. Provide recycling containers for residents</t>
        </is>
      </c>
    </row>
    <row r="21">
      <c r="A21" t="inlineStr">
        <is>
          <t>2. Arrange collection service with licensed provider</t>
        </is>
      </c>
    </row>
    <row r="22">
      <c r="A22" t="inlineStr">
        <is>
          <t>3. Submit verification records to city</t>
        </is>
      </c>
    </row>
    <row r="23">
      <c r="A23" t="inlineStr">
        <is>
          <t>4. Maintain ongoing compliance documentation</t>
        </is>
      </c>
    </row>
    <row r="25">
      <c r="A25" s="17" t="inlineStr">
        <is>
          <t>RECOMMENDED NEXT STEPS</t>
        </is>
      </c>
    </row>
    <row r="26">
      <c r="A26" t="inlineStr">
        <is>
          <t>1. Verify property has active recycling service in place</t>
        </is>
      </c>
    </row>
    <row r="27">
      <c r="A27" t="inlineStr">
        <is>
          <t>2. Confirm recycling containers are accessible to residents</t>
        </is>
      </c>
    </row>
    <row r="28">
      <c r="A28" t="inlineStr">
        <is>
          <t>3. Check that verification records have been submitted to city</t>
        </is>
      </c>
    </row>
    <row r="29">
      <c r="A29" t="inlineStr">
        <is>
          <t>4. Maintain compliance documentation for audits</t>
        </is>
      </c>
    </row>
    <row r="32">
      <c r="A32" s="20" t="inlineStr">
        <is>
          <t>Generated by: WasteWise Regulatory Compliance Analysis</t>
        </is>
      </c>
    </row>
    <row r="33">
      <c r="A33" s="20" t="inlineStr">
        <is>
          <t>For detailed findings, see: None</t>
        </is>
      </c>
    </row>
  </sheetData>
  <mergeCells count="19">
    <mergeCell ref="A17:D17"/>
    <mergeCell ref="A23:D23"/>
    <mergeCell ref="A22:D22"/>
    <mergeCell ref="A20:D20"/>
    <mergeCell ref="A29:D29"/>
    <mergeCell ref="A28:D28"/>
    <mergeCell ref="A15:D15"/>
    <mergeCell ref="A11:D11"/>
    <mergeCell ref="A1:D1"/>
    <mergeCell ref="A6:D6"/>
    <mergeCell ref="A25:D25"/>
    <mergeCell ref="A16:D16"/>
    <mergeCell ref="A27:D27"/>
    <mergeCell ref="A26:D26"/>
    <mergeCell ref="A21:D21"/>
    <mergeCell ref="A33:D33"/>
    <mergeCell ref="B12:D1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2025-11-03T20:52:13Z</dcterms:created>
  <dcterms:modified xmlns:dcterms="http://purl.org/dc/terms/" xmlns:xsi="http://www.w3.org/2001/XMLSchema-instance" xsi:type="dcterms:W3CDTF">2025-11-10T00:18:32Z</dcterms:modified>
</cp:coreProperties>
</file>